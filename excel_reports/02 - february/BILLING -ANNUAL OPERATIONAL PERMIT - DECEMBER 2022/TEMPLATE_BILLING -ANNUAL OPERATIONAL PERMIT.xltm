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INE\2023\CONSULTANT (Locality Media Inc.)\02 - february\02 - REPORTS\BILLING -ANNUAL OPERATIONAL PERMIT - DECEMBER 2022\"/>
    </mc:Choice>
  </mc:AlternateContent>
  <xr:revisionPtr revIDLastSave="0" documentId="13_ncr:1_{83A12B4C-F02C-4F6B-9FBA-C869AEE44158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Output Report" sheetId="10" r:id="rId1"/>
    <sheet name="Input Report" sheetId="6" r:id="rId2"/>
    <sheet name="Instructions" sheetId="9" r:id="rId3"/>
    <sheet name="DATA" sheetId="5" r:id="rId4"/>
  </sheets>
  <definedNames>
    <definedName name="_xlnm._FilterDatabase" localSheetId="3" hidden="1">DATA!$Z$1:$Z$822</definedName>
    <definedName name="_xlnm._FilterDatabase" localSheetId="0" hidden="1">'Output Report'!$A$1:$AB$1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0" l="1"/>
  <c r="Z2" i="5"/>
  <c r="Y2" i="5"/>
  <c r="R2" i="5"/>
  <c r="T2" i="5" s="1"/>
  <c r="K2" i="5"/>
  <c r="M2" i="5" l="1"/>
  <c r="L2" i="5"/>
  <c r="V2" i="5"/>
  <c r="X2" i="5" s="1"/>
  <c r="U2" i="5"/>
  <c r="S2" i="5"/>
  <c r="A2" i="10"/>
  <c r="W2" i="5" l="1"/>
  <c r="O2" i="5"/>
  <c r="Q2" i="5" s="1"/>
  <c r="N2" i="5"/>
  <c r="P2" i="10"/>
  <c r="V2" i="10"/>
  <c r="I2" i="10"/>
  <c r="G2" i="10"/>
  <c r="F2" i="10"/>
  <c r="K2" i="10"/>
  <c r="Z2" i="10"/>
  <c r="N2" i="10"/>
  <c r="L2" i="10"/>
  <c r="D2" i="10"/>
  <c r="O2" i="10"/>
  <c r="R2" i="10"/>
  <c r="H2" i="10"/>
  <c r="P2" i="5" l="1"/>
</calcChain>
</file>

<file path=xl/sharedStrings.xml><?xml version="1.0" encoding="utf-8"?>
<sst xmlns="http://schemas.openxmlformats.org/spreadsheetml/2006/main" count="3076" uniqueCount="473">
  <si>
    <t>LINE ITEM</t>
  </si>
  <si>
    <t>Annual Inspection - Commercial - &gt; 1000 sqft</t>
  </si>
  <si>
    <t>Fine for Services Rendered</t>
  </si>
  <si>
    <t>Sworn Inspection on site</t>
  </si>
  <si>
    <t>Firework Display Permit - Public</t>
  </si>
  <si>
    <t>Construction walkthrough</t>
  </si>
  <si>
    <t>New Construction - &gt; 10000 SQFT</t>
  </si>
  <si>
    <t>0-1 hour</t>
  </si>
  <si>
    <t>test</t>
  </si>
  <si>
    <t>Building Fire</t>
  </si>
  <si>
    <t>Fire Watch (First 4 hours / 1 FF)</t>
  </si>
  <si>
    <t>Assembly Inspection</t>
  </si>
  <si>
    <t>Common Areas</t>
  </si>
  <si>
    <t>a</t>
  </si>
  <si>
    <t>asdasd</t>
  </si>
  <si>
    <t xml:space="preserve">Fire Works </t>
  </si>
  <si>
    <t>Fire Works</t>
  </si>
  <si>
    <t>Fire Hydrant Test</t>
  </si>
  <si>
    <t>System Plan Review</t>
  </si>
  <si>
    <t>Annual Inspection - Commercial - &gt;600 ft</t>
  </si>
  <si>
    <t>Los Alamos based upon size</t>
  </si>
  <si>
    <t>In Town</t>
  </si>
  <si>
    <t>Out of Town</t>
  </si>
  <si>
    <t>Inspection Fee</t>
  </si>
  <si>
    <t>Registration of fire alarm</t>
  </si>
  <si>
    <t>Sprinkler System</t>
  </si>
  <si>
    <t>Fire Works Permit</t>
  </si>
  <si>
    <t>Civilian Inspection</t>
  </si>
  <si>
    <t>Downey Construction</t>
  </si>
  <si>
    <t xml:space="preserve">Licensed capacity 201 or more </t>
  </si>
  <si>
    <t>Sprinkler System Installation Complete</t>
  </si>
  <si>
    <t>On-site inspection for event or permit issuance</t>
  </si>
  <si>
    <t>fire registration</t>
  </si>
  <si>
    <t>Fire Lane</t>
  </si>
  <si>
    <t>SMFD_Common Area Inspection:  Additional Floors (2,000 sq ft - 5,000 sq ft)</t>
  </si>
  <si>
    <t>Los Alamos Inspections</t>
  </si>
  <si>
    <t>test test</t>
  </si>
  <si>
    <t>Hazmat Permit Issued</t>
  </si>
  <si>
    <t>On Site Inspection</t>
  </si>
  <si>
    <t>inspection</t>
  </si>
  <si>
    <t xml:space="preserve">Fire Personnel on Scene (preventative) </t>
  </si>
  <si>
    <t>Reinspection</t>
  </si>
  <si>
    <t>Compressed Gases - Flammable</t>
  </si>
  <si>
    <t>Virtual Inspection - sqft</t>
  </si>
  <si>
    <t>Fire Inspection</t>
  </si>
  <si>
    <t>SMFD_Individual Suite / Unit / Per Floor:  10,000 + sq feet</t>
  </si>
  <si>
    <t>Transport Mileage</t>
  </si>
  <si>
    <t>Run Off Permit</t>
  </si>
  <si>
    <t>Re-Sale Inspection</t>
  </si>
  <si>
    <t>SMFD_Common Area Inspection:  Additional Floors (10,000 sq ft +)</t>
  </si>
  <si>
    <t>SMFD_Common Area Inspection:  Additional Floors (5,000 sq ft - 10,000 sq ft)</t>
  </si>
  <si>
    <t>SMFD_Common Area Inspection:  Additional Floors (up to 2,000sq ft)</t>
  </si>
  <si>
    <t>SMFD_Common Area Inspection:  Base 1st Story (Includes Single Story Bldg)</t>
  </si>
  <si>
    <t>SMFD_Individual Suite / Unit / Per Floor:  0-2000 sq feet</t>
  </si>
  <si>
    <t>SMFD_Individual Suite / Unit / Per Floor:  2,001-5,000sq feet</t>
  </si>
  <si>
    <t>SMFD_Individual Suite / Unit / Per Floor:  5,001-10,000sq feet</t>
  </si>
  <si>
    <t>Weed Abatement (70% of Abatement Cost, $100 minimum)</t>
  </si>
  <si>
    <t>Re-inspection follow-up</t>
  </si>
  <si>
    <t xml:space="preserve">Gloucester Fire Watch </t>
  </si>
  <si>
    <t>Nuissance Alarm</t>
  </si>
  <si>
    <t>Non Emergency Related Call for Service</t>
  </si>
  <si>
    <t>Nuisance Alarms for PROPERTY!</t>
  </si>
  <si>
    <t>7/5/22 Fire Alarm Call</t>
  </si>
  <si>
    <t>In Town(Copy1)</t>
  </si>
  <si>
    <t xml:space="preserve">Gloucester Fire Watch  admin Fee </t>
  </si>
  <si>
    <t>Call # 22-001564 For Fire Alarm</t>
  </si>
  <si>
    <t>Pre-construction Site Review</t>
  </si>
  <si>
    <t>Type I - Cutting and Welding</t>
  </si>
  <si>
    <t xml:space="preserve">Initial </t>
  </si>
  <si>
    <t>Commercial Inspection</t>
  </si>
  <si>
    <t>Swimming Pool Filling</t>
  </si>
  <si>
    <t>system plan review type A</t>
  </si>
  <si>
    <t>Burn Permit Residential</t>
  </si>
  <si>
    <t>Weed Abatement</t>
  </si>
  <si>
    <t>MidColumbia FD Burn Permit</t>
  </si>
  <si>
    <t>On site inspection</t>
  </si>
  <si>
    <t>New Charge</t>
  </si>
  <si>
    <t>BLS Transport</t>
  </si>
  <si>
    <t>Disposable Supplies</t>
  </si>
  <si>
    <t>Running water issue</t>
  </si>
  <si>
    <t>Trash Bags</t>
  </si>
  <si>
    <t xml:space="preserve">Test </t>
  </si>
  <si>
    <t>Fire Watch (per hour above 4 / 1 FF)</t>
  </si>
  <si>
    <t>Risk Category 5 with 50-99</t>
  </si>
  <si>
    <t>Bag of kitty liter</t>
  </si>
  <si>
    <t>HazMat - Per responding FF</t>
  </si>
  <si>
    <t>Sample</t>
  </si>
  <si>
    <t>Hazmat</t>
  </si>
  <si>
    <t>INVOICE ID</t>
  </si>
  <si>
    <t>BUSINESS NAME</t>
  </si>
  <si>
    <t>OCCUPANCY ADDRESS</t>
  </si>
  <si>
    <t>Address</t>
  </si>
  <si>
    <t>City</t>
  </si>
  <si>
    <t>State</t>
  </si>
  <si>
    <t>ZipCode</t>
  </si>
  <si>
    <t>BUSINESS PHONE</t>
  </si>
  <si>
    <t>BILLING ADDRESS</t>
  </si>
  <si>
    <t>MailingAddress</t>
  </si>
  <si>
    <t>MailingCity</t>
  </si>
  <si>
    <t>MailingState</t>
  </si>
  <si>
    <t>MailingZip</t>
  </si>
  <si>
    <t>OCCUPANCY ID</t>
  </si>
  <si>
    <t>EXTERNAL OCCUPANCY ID</t>
  </si>
  <si>
    <t>SERVICE DATE</t>
  </si>
  <si>
    <t>Harbor Villa Care</t>
  </si>
  <si>
    <t>861 S HARBOR BLVD, ANAHEIM, CA, 92805</t>
  </si>
  <si>
    <t xml:space="preserve">Advance Auto Parts </t>
  </si>
  <si>
    <t>21560 GRENADA AVE, LAKEVILLE, MN, 55044</t>
  </si>
  <si>
    <t>Best Buy</t>
  </si>
  <si>
    <t>12633 RIVERDALE BLVD, MINNEAPOLIS, MN, 55448</t>
  </si>
  <si>
    <t>Club Chef</t>
  </si>
  <si>
    <t>3776 LAKE PARK DR, COVINGTON, KY, 41017</t>
  </si>
  <si>
    <t>Parker Hannifin Corporation</t>
  </si>
  <si>
    <t>3800 CALLE TECATE, CAMARILLO, CA, 93012</t>
  </si>
  <si>
    <t xml:space="preserve">Cascades at Galveston </t>
  </si>
  <si>
    <t>3702 COVE VIEW BLVD, GALVESTON, TX, 77554</t>
  </si>
  <si>
    <t>Tractor Supply</t>
  </si>
  <si>
    <t>5431 SOUTHERN MARYLAND BLVD, LOTHIAN, MD, 20711</t>
  </si>
  <si>
    <t>333 MAIN ST Suite 200, WARREN, MI, 48093</t>
  </si>
  <si>
    <t>Student Housing</t>
  </si>
  <si>
    <t>10 MAIN ST, DURHAM, NH, 03824</t>
  </si>
  <si>
    <t>Oak Bar</t>
  </si>
  <si>
    <t>100 MAIN ST, NEWPORT NEWS, VA, 23602</t>
  </si>
  <si>
    <t>Dairy Queen Grill &amp; Bar</t>
  </si>
  <si>
    <t>28039 MOUND RD, WARREN, MI, 48092</t>
  </si>
  <si>
    <t>IONA</t>
  </si>
  <si>
    <t>28630 RYAN RD, WARREN, MI, 48092</t>
  </si>
  <si>
    <t>first due</t>
  </si>
  <si>
    <t>9309 S ORANGE BLOSSOM TRAIL, ORLANDO, FL, 32837</t>
  </si>
  <si>
    <t>123 1/2 MAIN STREET, WILMINGTON, NC, 28403</t>
  </si>
  <si>
    <t>STONEY CREEK ELEMENTARY</t>
  </si>
  <si>
    <t>855 LUCAS CREEK ROAD, NEWPORT NEWS, VA, 23608</t>
  </si>
  <si>
    <t>Scenic Nursing and Rehab</t>
  </si>
  <si>
    <t>1333 SCENIC DR, HERCULANEUM, MO, 63048</t>
  </si>
  <si>
    <t>Thai Star Restaurant</t>
  </si>
  <si>
    <t>28841 RYAN RD, WARREN, MI, 48092</t>
  </si>
  <si>
    <t>Fry's</t>
  </si>
  <si>
    <t>8080 S HOUGHTON RD, TUCSON, AZ, 85747</t>
  </si>
  <si>
    <t>CVS Drug Store</t>
  </si>
  <si>
    <t>4239 TWELVE MILE RD, WARREN, MI, 48092</t>
  </si>
  <si>
    <t>Western State Hospital</t>
  </si>
  <si>
    <t>103 VALLEY CENTER DR, STAUNTON, VA, 24401</t>
  </si>
  <si>
    <t>New Haven Nursing</t>
  </si>
  <si>
    <t>181 CLIFTON ST, NEW HAVEN, CT, 06513</t>
  </si>
  <si>
    <t>Oakwood Garden Care Center</t>
  </si>
  <si>
    <t>3510 E SHIELDS AVE, FRESNO, CA, 93726</t>
  </si>
  <si>
    <t>8080 S HOUGHTON, TUCSON, AZ, 85747</t>
  </si>
  <si>
    <t>1 SOUTH ST 201, NEW YORK, NY, 10004</t>
  </si>
  <si>
    <t>Homewood Suites by Hilton Austin-Arboretum/NW</t>
  </si>
  <si>
    <t>10925 STONELAKE BLVD, AUSTIN, TX, 78759</t>
  </si>
  <si>
    <t>2650 NW 42ND ST, BOCA RATON, FL, 33434</t>
  </si>
  <si>
    <t>King's Beauty</t>
  </si>
  <si>
    <t xml:space="preserve"> 2620 W MICHIGAN ST, INDIANAPOLIS, IN, 46222</t>
  </si>
  <si>
    <t>Landis Logistics</t>
  </si>
  <si>
    <t>184 TUCKERTON RD, READING, PA, 19605</t>
  </si>
  <si>
    <t>Brewster Ambulance</t>
  </si>
  <si>
    <t>25 MAIN ST, WEYMOUTH, MA, 02188</t>
  </si>
  <si>
    <t>Caldsted</t>
  </si>
  <si>
    <t>3701 CHERRYTON DR, CHATTANOOGA, TN, 37411</t>
  </si>
  <si>
    <t>Devou Park Golf Course</t>
  </si>
  <si>
    <t>1201 PARK DR, COVINGTON, KY, 41011</t>
  </si>
  <si>
    <t>Dillard Family</t>
  </si>
  <si>
    <t>573 KENNEDY ST, ANOKA, MN, 55303</t>
  </si>
  <si>
    <t>Star Adult Medical Daycare</t>
  </si>
  <si>
    <t>1470 HADDON AVE, CAMDEN, NJ, 08103</t>
  </si>
  <si>
    <t>11 POND VIEW RD, PEABODY, MA, 01960</t>
  </si>
  <si>
    <t>Homestead at Anoka</t>
  </si>
  <si>
    <t>3002 4TH AVE, ANOKA, MN, 55303</t>
  </si>
  <si>
    <t>Nyle Industries</t>
  </si>
  <si>
    <t>12 STEVENS RD, BREWER, ME, 04412</t>
  </si>
  <si>
    <t>100 S MAIN ST, Apt 22, ROYAL OAK, MI, 48067</t>
  </si>
  <si>
    <t>Jamie Schwab's Business</t>
  </si>
  <si>
    <t>220 COLLEGE PKWY , COLCHESTER , VT, 05446</t>
  </si>
  <si>
    <t>1 CHERRY LN, MENDHAM TOWNSHIP, NJ, 07945</t>
  </si>
  <si>
    <t>Save Mart</t>
  </si>
  <si>
    <t>100 W RIVER RD, TAHOE CITY, CA, 96145</t>
  </si>
  <si>
    <t>Crista Shores</t>
  </si>
  <si>
    <t>1600 NW CRISTA SHORES LN, SILVERDALE, WA, 98383</t>
  </si>
  <si>
    <t>3434 RUSSELL ST, DETROIT, MI, 48207</t>
  </si>
  <si>
    <t>Krogers</t>
  </si>
  <si>
    <t xml:space="preserve"> 2630 W MICHIGAN ST, INDIANAPOLIS, IN, 46222</t>
  </si>
  <si>
    <t>38830 SUTTON DR, STERLING HEIGHTS, MI, 48310</t>
  </si>
  <si>
    <t>Erik</t>
  </si>
  <si>
    <t>1 SCHWEINBERG DR, ROSELAND, NJ, 07068</t>
  </si>
  <si>
    <t>WeWork Coworking &amp; Office Space</t>
  </si>
  <si>
    <t>312 ARIZONA AVE, SANTA MONICA, CA, 90401</t>
  </si>
  <si>
    <t xml:space="preserve">Haley's Business </t>
  </si>
  <si>
    <t>W10092 STATE ROAD 29, RIVER FALLS, WI, 54022</t>
  </si>
  <si>
    <t>C/O Krystal Hall, P.O. Box 65, Dundas MN 55019</t>
  </si>
  <si>
    <t>Winners</t>
  </si>
  <si>
    <t>75 NIPISSING RD, MILTON, ON, 11111</t>
  </si>
  <si>
    <t>Chesterbrook Academy</t>
  </si>
  <si>
    <t>1571 OSWEGO RD, NAPERVILLE, IL, 60540</t>
  </si>
  <si>
    <t>Suffolk Towers</t>
  </si>
  <si>
    <t>181 N MAIN ST, SUFFOLK, VA, 23434</t>
  </si>
  <si>
    <t>Sturges Ridge</t>
  </si>
  <si>
    <t>448 MILL PLAIN RD, FAIRFIELD, CT, 06824</t>
  </si>
  <si>
    <t>Pennsylvania Hospital</t>
  </si>
  <si>
    <t>230 W WASHINGTON SQUARE, PHILADELPHIA, PA, 19106</t>
  </si>
  <si>
    <t>Walmart Blackfoot</t>
  </si>
  <si>
    <t>565 JENSEN GROVE DR, BLACKFOOT, ID, 83221</t>
  </si>
  <si>
    <t xml:space="preserve">Saint Mike's Fire and Rescue </t>
  </si>
  <si>
    <t xml:space="preserve"> 123 FOOD TRUCK WAY (REAL), WILMINGTON, NC, 28403</t>
  </si>
  <si>
    <t>John B. Parsons Assisted Living</t>
  </si>
  <si>
    <t>300 LEMMON HILL LN, SALISBURY, MD, 21801</t>
  </si>
  <si>
    <t>toys</t>
  </si>
  <si>
    <t>123 FOOD TRUCK WAY BOBS FOOD TRUCK, SEATTLE, CA, 98101</t>
  </si>
  <si>
    <t>214 WILLIAM ST, BELLEVILLE, ON, K8N 3K2, CANADA</t>
  </si>
  <si>
    <t>CENTRALSQUARE NEW OFFICE</t>
  </si>
  <si>
    <t>100 MEMORIAL DR, DANVILLE, VA, 24541</t>
  </si>
  <si>
    <t>PETCO</t>
  </si>
  <si>
    <t>3760 CALLE TECATE, CAMARILLA, CA, 93012</t>
  </si>
  <si>
    <t>953 DANBY RD, ITHACA, NY, 14850</t>
  </si>
  <si>
    <t>COSTCO WHOLESALE</t>
  </si>
  <si>
    <t>500 BROOKHAVEN AVE, ATLANTA, GA, 30319</t>
  </si>
  <si>
    <t>Brookdale Ithaca</t>
  </si>
  <si>
    <t>103A BUNDY RD, ITHACA, NY, 14850</t>
  </si>
  <si>
    <t>Dillard Inc</t>
  </si>
  <si>
    <t>3102 ZAHARIAS, ORLANDO, FL, 32827</t>
  </si>
  <si>
    <t>Barkley</t>
  </si>
  <si>
    <t>2200 RIMLAND DR, BELLINGHAM, WA, 98226</t>
  </si>
  <si>
    <t>C/O SAMPLE BUSINESS NAME W10092 WI-29, RIVER FALLS, WI, 54022</t>
  </si>
  <si>
    <t>Safeway</t>
  </si>
  <si>
    <t>1275 E SUNSET DR, BELLINGHAM, WA, 98226</t>
  </si>
  <si>
    <t>212 UPPERVILLE RD, VIRGINIA BEACH, VA, 23462</t>
  </si>
  <si>
    <t>101 COLLEGE STREET , BURLINGTON, VT, 05401</t>
  </si>
  <si>
    <t>Hodson Hall</t>
  </si>
  <si>
    <t>22 CANTERBURY WAY, COLCHESTER, VT, 05439</t>
  </si>
  <si>
    <t>Starbucks</t>
  </si>
  <si>
    <t>1185 E SUNSET DR, BELLINGHAM, WA, 98226</t>
  </si>
  <si>
    <t xml:space="preserve">Kwik Trip </t>
  </si>
  <si>
    <t>1238 N MAIN ST , RIVER FALLS , WI, 54022</t>
  </si>
  <si>
    <t>Sun Mar Nursing Center</t>
  </si>
  <si>
    <t>1720 W ORANGE AVE, ANAHEIM, CA, 92804</t>
  </si>
  <si>
    <t>San Joaquin Nursing and Rehab</t>
  </si>
  <si>
    <t>3601 SAN DIMAS ST, BAKERSFIELD, CA, 93301</t>
  </si>
  <si>
    <t>Fairfield Post-Acute Rehab</t>
  </si>
  <si>
    <t>1255 TRAVIS BLVD, FAIRFIELD, CA, 94533</t>
  </si>
  <si>
    <t>2620 W Michigan Street, Suite 3434, Indianapolis, IN, 46222</t>
  </si>
  <si>
    <t>Commemorative Air Force - Minnesota Wing</t>
  </si>
  <si>
    <t>310 AIRPORT RD, SOUTH SAINT PAUL, MN, 55075</t>
  </si>
  <si>
    <t xml:space="preserve">First Due High School </t>
  </si>
  <si>
    <t>3325 WESTHEIMER RD, HOUSTON, TX, 77098</t>
  </si>
  <si>
    <t>16 JEREMY RIVER DR, COLCHESTER, CT, 06415</t>
  </si>
  <si>
    <t>279 CABOT ST, HOLYOKE, 01040</t>
  </si>
  <si>
    <t>MAUI MALL</t>
  </si>
  <si>
    <t>70 E KAAHUMANU AVE, KAHULUI, HI, 96732</t>
  </si>
  <si>
    <t>Lincoln Apartments</t>
  </si>
  <si>
    <t>530 N HOLMES AVE, INDIANAPOLIS, IN, 46222</t>
  </si>
  <si>
    <t>3940 NE 17TH AVE, OAKLAND PARK, FL, 33334</t>
  </si>
  <si>
    <t>Carrillo K-5 Magnet School</t>
  </si>
  <si>
    <t>440 S MAIN AVE, TUCSON, AZ, 85701</t>
  </si>
  <si>
    <t>8400 CANDELARIA DR, AUSTIN, TX, 78737</t>
  </si>
  <si>
    <t>Fake</t>
  </si>
  <si>
    <t>956 RANDOLPH AVE, SAINT PAUL, MN, 55102</t>
  </si>
  <si>
    <t>Keystone Bluffs Assisted Living</t>
  </si>
  <si>
    <t>2528 TRINITY RD, DULUTH, MN, 55811</t>
  </si>
  <si>
    <t>The Mapleton Assisted Living</t>
  </si>
  <si>
    <t>1419 W CENTRAL AVE, ANDOVER, KS, 67002</t>
  </si>
  <si>
    <t>Trinity Medical Center</t>
  </si>
  <si>
    <t>9330 FL-54, TRINITY, FL, 34655</t>
  </si>
  <si>
    <t xml:space="preserve">Saint Michael's Fire &amp; Rescie </t>
  </si>
  <si>
    <t>1490 EL MIRADOR DR, PASADENA, CA, 91103</t>
  </si>
  <si>
    <t>Benjamin F Tucker Elementary</t>
  </si>
  <si>
    <t>2221 ARGONNE AVE, LONG BEACH, CA, 90815</t>
  </si>
  <si>
    <t>Converse Home</t>
  </si>
  <si>
    <t>100 MAIN ST, BURLINGTON, VT, 05401</t>
  </si>
  <si>
    <t>Rogers Fire Station 1</t>
  </si>
  <si>
    <t>201 N 1ST ST, ROGERS, AR, 72756</t>
  </si>
  <si>
    <t>The Greens At Greenwich</t>
  </si>
  <si>
    <t>1155 KING ST, GREENWICH, CT, 06831</t>
  </si>
  <si>
    <t>Test</t>
  </si>
  <si>
    <t>Bambard Home</t>
  </si>
  <si>
    <t>5337 KINCAID PL, WINNABOW, NC, 28479</t>
  </si>
  <si>
    <t>WFD Station 2</t>
  </si>
  <si>
    <t>3403 PARK AVE, WILMINGTON, NC, 28403</t>
  </si>
  <si>
    <t>Olathe NH</t>
  </si>
  <si>
    <t>20911 W 153RD ST, OLATHE, KS, 66061</t>
  </si>
  <si>
    <t>1500 GOLD RUSH DR, CONCORD, NC, 28025</t>
  </si>
  <si>
    <t>Saint Michael's Fire &amp; Rescue</t>
  </si>
  <si>
    <t>220 COLLEGE PARKWAY, COLCHESTER, VT, 05446</t>
  </si>
  <si>
    <t>Jones-Harrison Senior Living</t>
  </si>
  <si>
    <t>3700 CEDAR LAKE AVE, MINNEAPOLIS, MN, 55416</t>
  </si>
  <si>
    <t>TEST</t>
  </si>
  <si>
    <t>1009 OLIVE ST, FLORENCE, AL, 35630</t>
  </si>
  <si>
    <t>Walgreens</t>
  </si>
  <si>
    <t>220 GRAFTON ST, WORCESTER, MA, 01604</t>
  </si>
  <si>
    <t>WallyMarket</t>
  </si>
  <si>
    <t>The Guest House</t>
  </si>
  <si>
    <t>10145 FLORIDA BLVD, BATON ROUGE, LA, 70815</t>
  </si>
  <si>
    <t xml:space="preserve">Basket Weaving Inc. </t>
  </si>
  <si>
    <t>12381 GREEN STONE CT, FORT MYERS, FL, 33913</t>
  </si>
  <si>
    <t>Walmart</t>
  </si>
  <si>
    <t>1700 ONION CREEK PKWY, AUSTIN, TX, 78748</t>
  </si>
  <si>
    <t>101 BALSAM DR, WILMINGTON, NC, 28409</t>
  </si>
  <si>
    <t>Bender Terrace Nursing and Rehab</t>
  </si>
  <si>
    <t>4510 27TH ST, LUBBOCK, TX, 79410</t>
  </si>
  <si>
    <t>WeWork Irving Place</t>
  </si>
  <si>
    <t>33 IRVING PL, NEW YORK, NY, 10003</t>
  </si>
  <si>
    <t>Salem Steel</t>
  </si>
  <si>
    <t>177 N MAIN ST, MIDDLETON, MA, 01949</t>
  </si>
  <si>
    <t>Leitner's Landscape and Gardening</t>
  </si>
  <si>
    <t>945 RANDOLPH AVE, ST PAUL, MN, 55102</t>
  </si>
  <si>
    <t>Central High School</t>
  </si>
  <si>
    <t>207 LOWELL ST, MANCHESTER, NH, 03104</t>
  </si>
  <si>
    <t>Nasa Gift Shop</t>
  </si>
  <si>
    <t>MOFFETT BLVD, MOUNTAIN VIEW, CA, 94043</t>
  </si>
  <si>
    <t>29 W MAIN ST, SHARON, CT, 06069</t>
  </si>
  <si>
    <t xml:space="preserve">Wegmans </t>
  </si>
  <si>
    <t>2100 RTE 70 W, CHERRY HILL, NJ, 08002</t>
  </si>
  <si>
    <t>(856) 488-2700</t>
  </si>
  <si>
    <t>Brightview Arlington</t>
  </si>
  <si>
    <t>1 SYMMES RD, ARLINGTON, MA, 02474</t>
  </si>
  <si>
    <t>Kyle Kutz Barbershop</t>
  </si>
  <si>
    <t>10 CONVENTION CENTER DR KYLE'S KUTZ BARBERSHOP, WILMINGTON , NC, 28412</t>
  </si>
  <si>
    <t>1015 NEW MOODY LN, LA GRANGE, KY, 40031</t>
  </si>
  <si>
    <t>1 FIRE AUTHORITY, IRVINE, CA, 92602</t>
  </si>
  <si>
    <t>Best Buyed</t>
  </si>
  <si>
    <t>Pacific Hand Car Wash</t>
  </si>
  <si>
    <t>1051 E SANTA CLARA ST, SAN JOSE, CA, 95116</t>
  </si>
  <si>
    <t>Folly Apartments</t>
  </si>
  <si>
    <t>35 FOLLY RD BLVD, CHARLESTON, SC, 29407</t>
  </si>
  <si>
    <t>3600 BUTCH CASSIDY DR, RENO, NV, 89511</t>
  </si>
  <si>
    <t>171 MASSACHUSETTS AVENUE, LEXINGTON, MA, 02420</t>
  </si>
  <si>
    <t>123 FOOD TRUCK WAY, SEATTLE, CA, 98101</t>
  </si>
  <si>
    <t xml:space="preserve">Fake Business Name Here </t>
  </si>
  <si>
    <t>Blumenthal Nursing and Rehab</t>
  </si>
  <si>
    <t>3724 WIRELESS DR, GREENSBORO, NC, 27455</t>
  </si>
  <si>
    <t>Silver Treasures</t>
  </si>
  <si>
    <t>3552 N PONCE DE LEON BLVD, ST. AUGUSTINE, FL, 32084</t>
  </si>
  <si>
    <t>1238 N MAIN ST, RIVER FALLS, WI, 54022</t>
  </si>
  <si>
    <t>C/O Sample Business  W10092 WI-29, RIVER FALLS, WI, 54022</t>
  </si>
  <si>
    <t xml:space="preserve">C/O Sample Business </t>
  </si>
  <si>
    <t xml:space="preserve"> W10092 WI-29, RIVER FALLS, WI, 54022</t>
  </si>
  <si>
    <t>Crooked Creek Club</t>
  </si>
  <si>
    <t>3430 GA-9, ALPHARETTA, GA, 30004</t>
  </si>
  <si>
    <t>Buck Hill</t>
  </si>
  <si>
    <t>15400 BUCK HILL RD, BURNSVILLE, MN, 55306</t>
  </si>
  <si>
    <t xml:space="preserve">Saint Michael's Fire &amp; Rescue </t>
  </si>
  <si>
    <t>Audubon Retirement Village</t>
  </si>
  <si>
    <t>612 HENRY CLAY AVE, NEW ORLEANS, LA, 70118</t>
  </si>
  <si>
    <t xml:space="preserve">Arbor Terrace </t>
  </si>
  <si>
    <t>201 CROSSTOWN DRIVE, PEACHTREE CITY, GA, 30269</t>
  </si>
  <si>
    <t>school</t>
  </si>
  <si>
    <t>76 LAKE ST, PEABODY, MA, 01960</t>
  </si>
  <si>
    <t>Yuma Fire Station 1</t>
  </si>
  <si>
    <t>353 S 3RD AVE, YUMA, AZ, 85364</t>
  </si>
  <si>
    <t>Bradenton Oaks</t>
  </si>
  <si>
    <t>1015 7TH AVE E, BRADENTON, FL, 34208</t>
  </si>
  <si>
    <t>Corner of Cooper</t>
  </si>
  <si>
    <t>10 CONVENTION CENTER DR COOPER'S CORNER CAFE, WILMINGTON, NC, 28412</t>
  </si>
  <si>
    <t>Trents Scuba</t>
  </si>
  <si>
    <t>10 CONVENTION CENTER DR TRENT'S SCUBA GEAR, WILMINGTON, NC, 28412</t>
  </si>
  <si>
    <t>Jake's Fireworks</t>
  </si>
  <si>
    <t>3332 NEBRASKA RD, OTTAWA, KS, 66067</t>
  </si>
  <si>
    <t>Park Place Assisted Living</t>
  </si>
  <si>
    <t>7500 PORTOLA RD, ATASCADERO, CA, 93422</t>
  </si>
  <si>
    <t>Demo Commercial</t>
  </si>
  <si>
    <t>2502 ALGERIAN WAY, HOUSTON, TX, 77098</t>
  </si>
  <si>
    <t>Whole Foods</t>
  </si>
  <si>
    <t>3804 OLEANDER DR WHOLE FOODS, WILMINGTON, NC, 28403</t>
  </si>
  <si>
    <t>Hardrock Canyon Apartments</t>
  </si>
  <si>
    <t>10300 JOLLYVILLE ROAD, AUSTIN, TX, 78759</t>
  </si>
  <si>
    <t>Gap Center</t>
  </si>
  <si>
    <t>3608 OLEANDER DR GAP CENTER, WILMINGTON, NC, 28403</t>
  </si>
  <si>
    <t>OLeary's Welding</t>
  </si>
  <si>
    <t>310 TURNPIKE RD, WESTBOROUGH, MA, 01581</t>
  </si>
  <si>
    <t>United Refrigeration Inc.</t>
  </si>
  <si>
    <t>1004 ROSSELLE ST, JACKSONVILLE, FL, 32204</t>
  </si>
  <si>
    <t xml:space="preserve">Nursing home </t>
  </si>
  <si>
    <t>John Smith</t>
  </si>
  <si>
    <t>123 EAST CHERRY STREET , ROGERS, AR, 72756</t>
  </si>
  <si>
    <t>Pasadena Care Center</t>
  </si>
  <si>
    <t>1640 N FAIR OAKS AVE, PASADENA, CA, 91103</t>
  </si>
  <si>
    <t>The Farmhouse Tap &amp; Grill</t>
  </si>
  <si>
    <t>160 BANK ST, BURLINGTON, VT, 05401</t>
  </si>
  <si>
    <t>Trent Scuba</t>
  </si>
  <si>
    <t>Shelton Manor</t>
  </si>
  <si>
    <t>9700 PENSACOLA BLVD, PENSACOLA, FL, 32534</t>
  </si>
  <si>
    <t>9700 PENSACOLA BLVD #1 Pensacola, FL, 32534</t>
  </si>
  <si>
    <t>Amazon</t>
  </si>
  <si>
    <t>60 OTIS STREET, WESTBOROUGH, MA, 01581</t>
  </si>
  <si>
    <t>Madame Margaret's Psychic Emporium</t>
  </si>
  <si>
    <t>107 SEVENTH ST, GARDEN CITY, NY, 11530</t>
  </si>
  <si>
    <t>Medilodge of Holland</t>
  </si>
  <si>
    <t>1221 E 16TH ST, HOLLAND, MI, 49423</t>
  </si>
  <si>
    <t>Elderwood Home</t>
  </si>
  <si>
    <t>98 STARR FARM RD, BURLINGTON, VT, 05408</t>
  </si>
  <si>
    <t>Suncoast Hospice</t>
  </si>
  <si>
    <t>164 W LAKE RD, PALM HARBOR, FL, 34684</t>
  </si>
  <si>
    <t>Bills BBQ</t>
  </si>
  <si>
    <t>1806 HIGHWAY 35, OAKHURST, NJ,  07755</t>
  </si>
  <si>
    <t>KOBASA STEPHEN V (L/U) &amp;</t>
  </si>
  <si>
    <t>46 HOBART ST, NEW HAVEN, CT, 06511</t>
  </si>
  <si>
    <t>Fort Gaines Health and Rehab</t>
  </si>
  <si>
    <t>101 HARTFORD RD, FORT GAINES, GA, 39851</t>
  </si>
  <si>
    <t>Peets Coffee</t>
  </si>
  <si>
    <t>1 SOUTH ST, NEW YORK, NY, 10004</t>
  </si>
  <si>
    <t>West Coast Test</t>
  </si>
  <si>
    <t>656 RIVER RD, NEWBURGH, NY, 12550</t>
  </si>
  <si>
    <t>Joe's Diner</t>
  </si>
  <si>
    <t>1000 PGA TOUR BLVD, PONTE VEDRA BEACH, FL, 32082</t>
  </si>
  <si>
    <t>Residence Hall 4</t>
  </si>
  <si>
    <t>CASHMAN ROAD, COLCHESTER, VT, 05439</t>
  </si>
  <si>
    <t>Yankee Spirits</t>
  </si>
  <si>
    <t>376 MAIN ST, STURBRIDGE, MA, 01566</t>
  </si>
  <si>
    <t>PLANT 1</t>
  </si>
  <si>
    <t>PLANT 1, RICHMOND, VA, 23234</t>
  </si>
  <si>
    <t>Summer Place Skilled Nursing and Rehab</t>
  </si>
  <si>
    <t>1750 S 20TH ST, LINCOLN, NE, 68502</t>
  </si>
  <si>
    <t>12301 NW 18TH PL, MIAMI, FL, 33167</t>
  </si>
  <si>
    <t>Nicholas Pet Store</t>
  </si>
  <si>
    <t>415 VANDALIA ST, PITTSBURGH, PA, 15210</t>
  </si>
  <si>
    <t>None</t>
  </si>
  <si>
    <t>150 WATER ST, NEWBURGH, NY, 12550</t>
  </si>
  <si>
    <t>124 Davis St, Douglas, MA 01516</t>
  </si>
  <si>
    <t>Best Western Posada Royale Hotel &amp; Suites</t>
  </si>
  <si>
    <t>1775 MADERA RD, SIMI VALLEY, CA, 93065</t>
  </si>
  <si>
    <t>Central Kitsap Fire and Rescue</t>
  </si>
  <si>
    <t>14550 KINGSCROSS CIR NW, SILVERDALE, WA, 98383</t>
  </si>
  <si>
    <t>Herb Chambers Ford of Westborough</t>
  </si>
  <si>
    <t>Carolina Apartments</t>
  </si>
  <si>
    <t>420 MARKET ST, WILMINGTON , NC, 28401</t>
  </si>
  <si>
    <t>Onion Creek Nursing and Rehabilitation Center</t>
  </si>
  <si>
    <t>Moutain Elementary School</t>
  </si>
  <si>
    <t>2280 N RD, LOS ALAMOS, NM, 87544</t>
  </si>
  <si>
    <t>Raleigh Rehabilitation Center</t>
  </si>
  <si>
    <t>616 WADE AVE, RALEIGH, NC, 27605</t>
  </si>
  <si>
    <t>Armor Packing Plant</t>
  </si>
  <si>
    <t>2309 WILLOW ARBOR, SAN MARCOS, TX, 78666</t>
  </si>
  <si>
    <t>Pacifica Senior Living San Leandro</t>
  </si>
  <si>
    <t>348 W JUANA AVE, SAN LEANDRO, CA, 94577</t>
  </si>
  <si>
    <t>Arlington Auto and Tire</t>
  </si>
  <si>
    <t>678 DUTCHESS TURNPIKE, POUGHKEEPSIE, NY, 12603</t>
  </si>
  <si>
    <t xml:space="preserve">Bullard High School </t>
  </si>
  <si>
    <t>5455 N PALM AVE, FRESNO, CA, 93704</t>
  </si>
  <si>
    <t>FIFTH THIRD BANK CENTER</t>
  </si>
  <si>
    <t>201 N TRYON ST, CHARLOTTE, NC, 28202</t>
  </si>
  <si>
    <t>BRIO APARTMENT HOMES</t>
  </si>
  <si>
    <t>546 W COLORADO ST, GLENDALE, CA, 91204</t>
  </si>
  <si>
    <t>Note</t>
  </si>
  <si>
    <t>AMOUNT</t>
  </si>
  <si>
    <t>Permit Fee</t>
  </si>
  <si>
    <t>Email</t>
  </si>
  <si>
    <t>NOTE</t>
  </si>
  <si>
    <t>BEAN</t>
  </si>
  <si>
    <t>FEIN</t>
  </si>
  <si>
    <t>AddField2</t>
  </si>
  <si>
    <t>SIC</t>
  </si>
  <si>
    <t>SSN</t>
  </si>
  <si>
    <t>Extra2</t>
  </si>
  <si>
    <t>Extra1</t>
  </si>
  <si>
    <t>PhoneEmail</t>
  </si>
  <si>
    <t>Contact</t>
  </si>
  <si>
    <t>Name</t>
  </si>
  <si>
    <t>same as above but adding additional amounts</t>
  </si>
  <si>
    <t>4 rows and above</t>
  </si>
  <si>
    <t>Note - the 0.8 is always mulitplied by the SMALLEST AMOUNT value. So in this case if AMOUNT 1 was the smallest then it would be AMOUNT 2 + AMOUNT 3 + (AMOUNT 1)*0.7 = Permit Fee</t>
  </si>
  <si>
    <t>AMOUNT 1 + AMOUNT 2 + (AMOUNT 3)*0.7 = Permit Fee</t>
  </si>
  <si>
    <t>Discount Formula - If 3 rows in input report for invoice number</t>
  </si>
  <si>
    <t>Note - the 0.8 is always mulitplied by the SMALLEST AMOUNT value. So in this case if AMOUNT 1 was smaller than AMOUNT 2, it would be AMOUNT 2 + (AMOUNT 1)*0.8 = Permit Fee</t>
  </si>
  <si>
    <t>AMOUNT 1 + (AMOUNT 2)*0.8 = Permit Fee</t>
  </si>
  <si>
    <t>Discount Formula - If 2 rows in input report for invoice number</t>
  </si>
  <si>
    <t>AMOUNT 1 = Permit Fee</t>
  </si>
  <si>
    <t>Discount Formula - If 1 row in input report for invoice number</t>
  </si>
  <si>
    <t>Permit Fee. Going to sum all the "amounts" - BUT with discount fromula - see below</t>
  </si>
  <si>
    <t>Note. Concatenate data in each line item row into single cell with "," in between</t>
  </si>
  <si>
    <t>Extra 2</t>
  </si>
  <si>
    <t>Parse into columns K-O</t>
  </si>
  <si>
    <t>Parse into columns D-H</t>
  </si>
  <si>
    <t>Use this to merge all  of same Invoice ID into 1 row</t>
  </si>
  <si>
    <t>MAPPING INSTRUCTIONS</t>
  </si>
  <si>
    <t>REPORT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</si>
</sst>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6" x14ac:knownFonts="1"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u/>
      <sz val="8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4">
    <xf numFmtId="0" fontId="0" fillId="0" borderId="0" xfId="0">
      <alignment vertical="top"/>
    </xf>
    <xf numFmtId="0" fontId="0" fillId="0" borderId="0" xfId="0" applyAlignment="1"/>
    <xf numFmtId="0" fontId="1" fillId="0" borderId="0" xfId="0" applyFont="1">
      <alignment vertical="top"/>
    </xf>
    <xf numFmtId="0" fontId="1" fillId="0" borderId="0" xfId="0" applyFont="1" applyAlignment="1"/>
    <xf numFmtId="14" fontId="0" fillId="0" borderId="0" xfId="0" applyNumberFormat="1" applyAlignment="1"/>
    <xf numFmtId="39" fontId="2" fillId="0" borderId="0" xfId="0" applyNumberFormat="1" applyFont="1" applyAlignment="1">
      <alignment horizontal="right" vertical="top"/>
    </xf>
    <xf numFmtId="0" fontId="2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left" vertical="top" wrapText="1" readingOrder="1"/>
    </xf>
    <xf numFmtId="0" fontId="4" fillId="0" borderId="0" xfId="0" applyFont="1">
      <alignment vertical="top"/>
    </xf>
    <xf numFmtId="0" fontId="4" fillId="0" borderId="0" xfId="0" applyFont="1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1076325</xdr:colOff>
          <xdr:row>3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47625</xdr:rowOff>
        </xdr:from>
        <xdr:to>
          <xdr:col>1</xdr:col>
          <xdr:colOff>38100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44147-7247-49C0-AD82-0F93DCA5B3F2}">
  <sheetPr codeName="Hoja3">
    <outlinePr summaryBelow="0" summaryRight="0"/>
    <pageSetUpPr autoPageBreaks="0"/>
  </sheetPr>
  <dimension ref="A1:AB893"/>
  <sheetViews>
    <sheetView showGridLines="0" tabSelected="1" showOutlineSymbols="0" workbookViewId="0">
      <selection activeCell="A3" sqref="A3"/>
    </sheetView>
  </sheetViews>
  <sheetFormatPr baseColWidth="10" defaultColWidth="6.85546875" defaultRowHeight="12.75" customHeight="1" x14ac:dyDescent="0.2"/>
  <cols>
    <col min="1" max="1" width="24.85546875" customWidth="1"/>
    <col min="2" max="2" width="5.85546875" bestFit="1" customWidth="1"/>
    <col min="3" max="3" width="1.42578125" customWidth="1"/>
    <col min="4" max="4" width="19.5703125" customWidth="1"/>
    <col min="5" max="5" width="1.42578125" customWidth="1"/>
    <col min="6" max="6" width="7.140625" bestFit="1" customWidth="1"/>
    <col min="7" max="7" width="4.5703125" bestFit="1" customWidth="1"/>
    <col min="8" max="8" width="6" bestFit="1" customWidth="1"/>
    <col min="9" max="9" width="10.7109375" bestFit="1" customWidth="1"/>
    <col min="10" max="10" width="1" customWidth="1"/>
    <col min="11" max="11" width="24.42578125" bestFit="1" customWidth="1"/>
    <col min="12" max="12" width="7.85546875" bestFit="1" customWidth="1"/>
    <col min="13" max="13" width="1.42578125" customWidth="1"/>
    <col min="14" max="14" width="8.85546875" bestFit="1" customWidth="1"/>
    <col min="15" max="15" width="7.7109375" bestFit="1" customWidth="1"/>
    <col min="16" max="16" width="9.28515625" bestFit="1" customWidth="1"/>
    <col min="17" max="17" width="1.140625" customWidth="1"/>
    <col min="18" max="18" width="16" bestFit="1" customWidth="1"/>
    <col min="19" max="19" width="3.85546875" bestFit="1" customWidth="1"/>
    <col min="20" max="20" width="1.42578125" customWidth="1"/>
    <col min="21" max="21" width="3.140625" bestFit="1" customWidth="1"/>
    <col min="22" max="22" width="8.7109375" bestFit="1" customWidth="1"/>
    <col min="23" max="23" width="1" customWidth="1"/>
    <col min="24" max="24" width="4" bestFit="1" customWidth="1"/>
    <col min="25" max="25" width="4.85546875" bestFit="1" customWidth="1"/>
    <col min="26" max="26" width="39.7109375" customWidth="1"/>
    <col min="27" max="27" width="11.42578125" customWidth="1"/>
    <col min="28" max="28" width="9.28515625" bestFit="1" customWidth="1"/>
  </cols>
  <sheetData>
    <row r="1" spans="1:28" ht="12.75" customHeight="1" x14ac:dyDescent="0.2">
      <c r="A1" s="9" t="s">
        <v>454</v>
      </c>
      <c r="B1" s="9" t="s">
        <v>453</v>
      </c>
      <c r="D1" s="9" t="s">
        <v>91</v>
      </c>
      <c r="F1" s="9" t="s">
        <v>92</v>
      </c>
      <c r="G1" s="9" t="s">
        <v>93</v>
      </c>
      <c r="H1" s="9" t="s">
        <v>94</v>
      </c>
      <c r="I1" s="9" t="s">
        <v>452</v>
      </c>
      <c r="K1" s="9" t="s">
        <v>97</v>
      </c>
      <c r="L1" s="9" t="s">
        <v>98</v>
      </c>
      <c r="N1" s="9" t="s">
        <v>99</v>
      </c>
      <c r="O1" s="9" t="s">
        <v>100</v>
      </c>
      <c r="P1" s="9" t="s">
        <v>451</v>
      </c>
      <c r="R1" s="9" t="s">
        <v>450</v>
      </c>
      <c r="S1" s="9" t="s">
        <v>449</v>
      </c>
      <c r="U1" s="9" t="s">
        <v>448</v>
      </c>
      <c r="V1" s="9" t="s">
        <v>447</v>
      </c>
      <c r="X1" s="9" t="s">
        <v>446</v>
      </c>
      <c r="Y1" s="9" t="s">
        <v>445</v>
      </c>
      <c r="Z1" s="9" t="s">
        <v>444</v>
      </c>
      <c r="AA1" s="9" t="s">
        <v>443</v>
      </c>
      <c r="AB1" s="8" t="s">
        <v>442</v>
      </c>
    </row>
    <row r="2" spans="1:28" ht="12.75" customHeight="1" x14ac:dyDescent="0.2">
      <c r="A2" s="6" t="str">
        <f>IFERROR(IF(DATA!Z2&lt;&gt;"",'Input Report'!B2,""),"")</f>
        <v/>
      </c>
      <c r="D2" s="6" t="str">
        <f>IFERROR(IF(A2&lt;&gt;"",DATA!L2,""),"")</f>
        <v/>
      </c>
      <c r="F2" s="6" t="str">
        <f>IFERROR(IF(A2&lt;&gt;"",DATA!N2,""),"")</f>
        <v/>
      </c>
      <c r="G2" s="6" t="str">
        <f>IFERROR(IF(A2&lt;&gt;"",DATA!P2,""),"")</f>
        <v/>
      </c>
      <c r="H2" s="6" t="str">
        <f>IFERROR(IF(A2&lt;&gt;"",DATA!Q2,""),"")</f>
        <v/>
      </c>
      <c r="I2" s="6" t="str">
        <f>IFERROR(IF(A2&lt;&gt;"",DATA!D2,""),"")</f>
        <v/>
      </c>
      <c r="K2" s="6" t="str">
        <f>IFERROR(IF(A2&lt;&gt;"",DATA!S2,""),"")</f>
        <v/>
      </c>
      <c r="L2" s="6" t="str">
        <f>IFERROR(IF(A2&lt;&gt;"",DATA!U2,""),"")</f>
        <v/>
      </c>
      <c r="N2" s="6" t="str">
        <f>IFERROR(IF(A2&lt;&gt;"",DATA!W2,""),"")</f>
        <v/>
      </c>
      <c r="O2" s="6" t="str">
        <f>IFERROR(IF(A2&lt;&gt;"",DATA!X2,""),"")</f>
        <v/>
      </c>
      <c r="P2" s="6" t="str">
        <f>IFERROR(IF(A2&lt;&gt;"",DATA!F2,""),"")</f>
        <v/>
      </c>
      <c r="R2" s="6" t="str">
        <f>IFERROR(IF(A2&lt;&gt;"",DATA!G2,""),"")</f>
        <v/>
      </c>
      <c r="V2" s="7" t="str">
        <f>IFERROR(IF(A2&lt;&gt;"",DATA!H2,""),"")</f>
        <v/>
      </c>
      <c r="Z2" s="6" t="str">
        <f>IFERROR(IF(A2&lt;&gt;"",DATA!Z2,""),"")</f>
        <v/>
      </c>
      <c r="AA2" s="6"/>
      <c r="AB2" s="5" t="str">
        <f>IFERROR(IF(A2&lt;&gt;"",DATA!AB2,""),"")</f>
        <v/>
      </c>
    </row>
    <row r="3" spans="1:28" ht="12.75" customHeight="1" x14ac:dyDescent="0.2">
      <c r="A3" s="6"/>
      <c r="D3" s="6"/>
      <c r="F3" s="6"/>
      <c r="G3" s="6"/>
      <c r="H3" s="6"/>
      <c r="I3" s="6"/>
      <c r="K3" s="6"/>
      <c r="L3" s="6"/>
      <c r="N3" s="6"/>
      <c r="O3" s="6"/>
      <c r="P3" s="6"/>
      <c r="R3" s="6"/>
      <c r="V3" s="7"/>
      <c r="Z3" s="6"/>
      <c r="AA3" s="6"/>
      <c r="AB3" s="5"/>
    </row>
    <row r="4" spans="1:28" ht="12.75" customHeight="1" x14ac:dyDescent="0.2">
      <c r="A4" s="6"/>
      <c r="D4" s="6"/>
      <c r="F4" s="6"/>
      <c r="G4" s="6"/>
      <c r="H4" s="6"/>
      <c r="I4" s="6"/>
      <c r="K4" s="6"/>
      <c r="L4" s="6"/>
      <c r="N4" s="6"/>
      <c r="O4" s="6"/>
      <c r="P4" s="6"/>
      <c r="R4" s="6"/>
      <c r="V4" s="7"/>
      <c r="Z4" s="6"/>
      <c r="AA4" s="6"/>
      <c r="AB4" s="5"/>
    </row>
    <row r="5" spans="1:28" ht="12.75" customHeight="1" x14ac:dyDescent="0.2">
      <c r="A5" s="6"/>
      <c r="D5" s="6"/>
      <c r="F5" s="6"/>
      <c r="G5" s="6"/>
      <c r="H5" s="6"/>
      <c r="I5" s="6"/>
      <c r="K5" s="6"/>
      <c r="L5" s="6"/>
      <c r="N5" s="6"/>
      <c r="O5" s="6"/>
      <c r="P5" s="6"/>
      <c r="R5" s="6"/>
      <c r="V5" s="7"/>
      <c r="Z5" s="6"/>
      <c r="AA5" s="6"/>
      <c r="AB5" s="5"/>
    </row>
    <row r="6" spans="1:28" ht="12.75" customHeight="1" x14ac:dyDescent="0.2">
      <c r="A6" s="6"/>
      <c r="D6" s="6"/>
      <c r="F6" s="6"/>
      <c r="G6" s="6"/>
      <c r="H6" s="6"/>
      <c r="I6" s="6"/>
      <c r="K6" s="6"/>
      <c r="L6" s="6"/>
      <c r="N6" s="6"/>
      <c r="O6" s="6"/>
      <c r="P6" s="6"/>
      <c r="R6" s="6"/>
      <c r="V6" s="7"/>
      <c r="Z6" s="6"/>
      <c r="AA6" s="6"/>
      <c r="AB6" s="5"/>
    </row>
    <row r="7" spans="1:28" ht="12.75" customHeight="1" x14ac:dyDescent="0.2">
      <c r="A7" s="6"/>
      <c r="D7" s="6"/>
      <c r="F7" s="6"/>
      <c r="G7" s="6"/>
      <c r="H7" s="6"/>
      <c r="I7" s="6"/>
      <c r="K7" s="6"/>
      <c r="L7" s="6"/>
      <c r="N7" s="6"/>
      <c r="O7" s="6"/>
      <c r="P7" s="6"/>
      <c r="R7" s="6"/>
      <c r="V7" s="7"/>
      <c r="Z7" s="6"/>
      <c r="AA7" s="6"/>
      <c r="AB7" s="5"/>
    </row>
    <row r="8" spans="1:28" ht="12.75" customHeight="1" x14ac:dyDescent="0.2">
      <c r="A8" s="6"/>
      <c r="D8" s="6"/>
      <c r="F8" s="6"/>
      <c r="G8" s="6"/>
      <c r="H8" s="6"/>
      <c r="I8" s="6"/>
      <c r="K8" s="6"/>
      <c r="L8" s="6"/>
      <c r="N8" s="6"/>
      <c r="O8" s="6"/>
      <c r="P8" s="6"/>
      <c r="R8" s="6"/>
      <c r="V8" s="7"/>
      <c r="Z8" s="6"/>
      <c r="AA8" s="6"/>
      <c r="AB8" s="5"/>
    </row>
    <row r="9" spans="1:28" ht="12.75" customHeight="1" x14ac:dyDescent="0.2">
      <c r="A9" s="6"/>
      <c r="D9" s="6"/>
      <c r="F9" s="6"/>
      <c r="G9" s="6"/>
      <c r="H9" s="6"/>
      <c r="I9" s="6"/>
      <c r="K9" s="6"/>
      <c r="L9" s="6"/>
      <c r="N9" s="6"/>
      <c r="O9" s="6"/>
      <c r="P9" s="6"/>
      <c r="R9" s="6"/>
      <c r="V9" s="7"/>
      <c r="Z9" s="6"/>
      <c r="AA9" s="6"/>
      <c r="AB9" s="5"/>
    </row>
    <row r="10" spans="1:28" ht="12.75" customHeight="1" x14ac:dyDescent="0.2">
      <c r="A10" s="6"/>
      <c r="D10" s="6"/>
      <c r="F10" s="6"/>
      <c r="G10" s="6"/>
      <c r="H10" s="6"/>
      <c r="I10" s="6"/>
      <c r="K10" s="6"/>
      <c r="L10" s="6"/>
      <c r="N10" s="6"/>
      <c r="O10" s="6"/>
      <c r="P10" s="6"/>
      <c r="R10" s="6"/>
      <c r="V10" s="7"/>
      <c r="Z10" s="6"/>
      <c r="AA10" s="6"/>
      <c r="AB10" s="5"/>
    </row>
    <row r="11" spans="1:28" ht="12.75" customHeight="1" x14ac:dyDescent="0.2">
      <c r="A11" s="6"/>
      <c r="D11" s="6"/>
      <c r="F11" s="6"/>
      <c r="G11" s="6"/>
      <c r="H11" s="6"/>
      <c r="I11" s="6"/>
      <c r="K11" s="6"/>
      <c r="L11" s="6"/>
      <c r="N11" s="6"/>
      <c r="O11" s="6"/>
      <c r="P11" s="6"/>
      <c r="R11" s="6"/>
      <c r="V11" s="7"/>
      <c r="Z11" s="6"/>
      <c r="AA11" s="6"/>
      <c r="AB11" s="5"/>
    </row>
    <row r="12" spans="1:28" ht="12.75" customHeight="1" x14ac:dyDescent="0.2">
      <c r="A12" s="6"/>
      <c r="D12" s="6"/>
      <c r="F12" s="6"/>
      <c r="G12" s="6"/>
      <c r="H12" s="6"/>
      <c r="I12" s="6"/>
      <c r="K12" s="6"/>
      <c r="L12" s="6"/>
      <c r="N12" s="6"/>
      <c r="O12" s="6"/>
      <c r="P12" s="6"/>
      <c r="R12" s="6"/>
      <c r="V12" s="7"/>
      <c r="Z12" s="6"/>
      <c r="AA12" s="6"/>
      <c r="AB12" s="5"/>
    </row>
    <row r="13" spans="1:28" ht="12.75" customHeight="1" x14ac:dyDescent="0.2">
      <c r="A13" s="6"/>
      <c r="D13" s="6"/>
      <c r="F13" s="6"/>
      <c r="G13" s="6"/>
      <c r="H13" s="6"/>
      <c r="I13" s="6"/>
      <c r="K13" s="6"/>
      <c r="L13" s="6"/>
      <c r="N13" s="6"/>
      <c r="O13" s="6"/>
      <c r="P13" s="6"/>
      <c r="R13" s="6"/>
      <c r="V13" s="7"/>
      <c r="Z13" s="6"/>
      <c r="AA13" s="6"/>
      <c r="AB13" s="5"/>
    </row>
    <row r="14" spans="1:28" ht="12.75" customHeight="1" x14ac:dyDescent="0.2">
      <c r="A14" s="6"/>
      <c r="D14" s="6"/>
      <c r="F14" s="6"/>
      <c r="G14" s="6"/>
      <c r="H14" s="6"/>
      <c r="I14" s="6"/>
      <c r="K14" s="6"/>
      <c r="L14" s="6"/>
      <c r="N14" s="6"/>
      <c r="O14" s="6"/>
      <c r="P14" s="6"/>
      <c r="R14" s="6"/>
      <c r="V14" s="7"/>
      <c r="Z14" s="6"/>
      <c r="AA14" s="6"/>
      <c r="AB14" s="5"/>
    </row>
    <row r="15" spans="1:28" ht="12.75" customHeight="1" x14ac:dyDescent="0.2">
      <c r="A15" s="6"/>
      <c r="D15" s="6"/>
      <c r="F15" s="6"/>
      <c r="G15" s="6"/>
      <c r="H15" s="6"/>
      <c r="I15" s="6"/>
      <c r="K15" s="6"/>
      <c r="L15" s="6"/>
      <c r="N15" s="6"/>
      <c r="O15" s="6"/>
      <c r="P15" s="6"/>
      <c r="R15" s="6"/>
      <c r="V15" s="7"/>
      <c r="Z15" s="6"/>
      <c r="AA15" s="6"/>
      <c r="AB15" s="5"/>
    </row>
    <row r="16" spans="1:28" ht="12.75" customHeight="1" x14ac:dyDescent="0.2">
      <c r="A16" s="6"/>
      <c r="D16" s="6"/>
      <c r="F16" s="6"/>
      <c r="G16" s="6"/>
      <c r="H16" s="6"/>
      <c r="I16" s="6"/>
      <c r="K16" s="6"/>
      <c r="L16" s="6"/>
      <c r="N16" s="6"/>
      <c r="O16" s="6"/>
      <c r="P16" s="6"/>
      <c r="R16" s="6"/>
      <c r="V16" s="7"/>
      <c r="Z16" s="6"/>
      <c r="AA16" s="6"/>
      <c r="AB16" s="5"/>
    </row>
    <row r="17" spans="1:28" ht="12.75" customHeight="1" x14ac:dyDescent="0.2">
      <c r="A17" s="6"/>
      <c r="D17" s="6"/>
      <c r="F17" s="6"/>
      <c r="G17" s="6"/>
      <c r="H17" s="6"/>
      <c r="I17" s="6"/>
      <c r="K17" s="6"/>
      <c r="L17" s="6"/>
      <c r="N17" s="6"/>
      <c r="O17" s="6"/>
      <c r="P17" s="6"/>
      <c r="R17" s="6"/>
      <c r="V17" s="7"/>
      <c r="Z17" s="6"/>
      <c r="AA17" s="6"/>
      <c r="AB17" s="5"/>
    </row>
    <row r="18" spans="1:28" ht="12.75" customHeight="1" x14ac:dyDescent="0.2">
      <c r="A18" s="6"/>
      <c r="D18" s="6"/>
      <c r="F18" s="6"/>
      <c r="G18" s="6"/>
      <c r="H18" s="6"/>
      <c r="I18" s="6"/>
      <c r="K18" s="6"/>
      <c r="L18" s="6"/>
      <c r="N18" s="6"/>
      <c r="O18" s="6"/>
      <c r="P18" s="6"/>
      <c r="R18" s="6"/>
      <c r="V18" s="7"/>
      <c r="Z18" s="6"/>
      <c r="AA18" s="6"/>
      <c r="AB18" s="5"/>
    </row>
    <row r="19" spans="1:28" ht="12.75" customHeight="1" x14ac:dyDescent="0.2">
      <c r="A19" s="6"/>
      <c r="D19" s="6"/>
      <c r="F19" s="6"/>
      <c r="G19" s="6"/>
      <c r="H19" s="6"/>
      <c r="I19" s="6"/>
      <c r="K19" s="6"/>
      <c r="L19" s="6"/>
      <c r="N19" s="6"/>
      <c r="O19" s="6"/>
      <c r="P19" s="6"/>
      <c r="R19" s="6"/>
      <c r="V19" s="7"/>
      <c r="Z19" s="6"/>
      <c r="AA19" s="6"/>
      <c r="AB19" s="5"/>
    </row>
    <row r="20" spans="1:28" ht="12.75" customHeight="1" x14ac:dyDescent="0.2">
      <c r="A20" s="6"/>
      <c r="D20" s="6"/>
      <c r="F20" s="6"/>
      <c r="G20" s="6"/>
      <c r="H20" s="6"/>
      <c r="I20" s="6"/>
      <c r="K20" s="6"/>
      <c r="L20" s="6"/>
      <c r="N20" s="6"/>
      <c r="O20" s="6"/>
      <c r="P20" s="6"/>
      <c r="R20" s="6"/>
      <c r="V20" s="7"/>
      <c r="Z20" s="6"/>
      <c r="AA20" s="6"/>
      <c r="AB20" s="5"/>
    </row>
    <row r="21" spans="1:28" ht="12.75" customHeight="1" x14ac:dyDescent="0.2">
      <c r="A21" s="6"/>
      <c r="D21" s="6"/>
      <c r="F21" s="6"/>
      <c r="G21" s="6"/>
      <c r="H21" s="6"/>
      <c r="I21" s="6"/>
      <c r="K21" s="6"/>
      <c r="L21" s="6"/>
      <c r="N21" s="6"/>
      <c r="O21" s="6"/>
      <c r="P21" s="6"/>
      <c r="R21" s="6"/>
      <c r="V21" s="7"/>
      <c r="Z21" s="6"/>
      <c r="AA21" s="6"/>
      <c r="AB21" s="5"/>
    </row>
    <row r="22" spans="1:28" ht="12.75" customHeight="1" x14ac:dyDescent="0.2">
      <c r="A22" s="6"/>
      <c r="D22" s="6"/>
      <c r="F22" s="6"/>
      <c r="G22" s="6"/>
      <c r="H22" s="6"/>
      <c r="I22" s="6"/>
      <c r="K22" s="6"/>
      <c r="L22" s="6"/>
      <c r="N22" s="6"/>
      <c r="O22" s="6"/>
      <c r="P22" s="6"/>
      <c r="R22" s="6"/>
      <c r="V22" s="7"/>
      <c r="Z22" s="6"/>
      <c r="AA22" s="6"/>
      <c r="AB22" s="5"/>
    </row>
    <row r="23" spans="1:28" ht="12.75" customHeight="1" x14ac:dyDescent="0.2">
      <c r="A23" s="6"/>
      <c r="D23" s="6"/>
      <c r="F23" s="6"/>
      <c r="G23" s="6"/>
      <c r="H23" s="6"/>
      <c r="I23" s="6"/>
      <c r="K23" s="6"/>
      <c r="L23" s="6"/>
      <c r="N23" s="6"/>
      <c r="O23" s="6"/>
      <c r="P23" s="6"/>
      <c r="R23" s="6"/>
      <c r="V23" s="7"/>
      <c r="Z23" s="6"/>
      <c r="AA23" s="6"/>
      <c r="AB23" s="5"/>
    </row>
    <row r="24" spans="1:28" ht="12.75" customHeight="1" x14ac:dyDescent="0.2">
      <c r="A24" s="6"/>
      <c r="D24" s="6"/>
      <c r="F24" s="6"/>
      <c r="G24" s="6"/>
      <c r="H24" s="6"/>
      <c r="I24" s="6"/>
      <c r="K24" s="6"/>
      <c r="L24" s="6"/>
      <c r="N24" s="6"/>
      <c r="O24" s="6"/>
      <c r="P24" s="6"/>
      <c r="R24" s="6"/>
      <c r="V24" s="7"/>
      <c r="Z24" s="6"/>
      <c r="AA24" s="6"/>
      <c r="AB24" s="5"/>
    </row>
    <row r="25" spans="1:28" ht="12.75" customHeight="1" x14ac:dyDescent="0.2">
      <c r="A25" s="6"/>
      <c r="D25" s="6"/>
      <c r="F25" s="6"/>
      <c r="G25" s="6"/>
      <c r="H25" s="6"/>
      <c r="I25" s="6"/>
      <c r="K25" s="6"/>
      <c r="L25" s="6"/>
      <c r="N25" s="6"/>
      <c r="O25" s="6"/>
      <c r="P25" s="6"/>
      <c r="R25" s="6"/>
      <c r="V25" s="7"/>
      <c r="Z25" s="6"/>
      <c r="AA25" s="6"/>
      <c r="AB25" s="5"/>
    </row>
    <row r="26" spans="1:28" ht="12.75" customHeight="1" x14ac:dyDescent="0.2">
      <c r="A26" s="6"/>
      <c r="D26" s="6"/>
      <c r="F26" s="6"/>
      <c r="G26" s="6"/>
      <c r="H26" s="6"/>
      <c r="I26" s="6"/>
      <c r="K26" s="6"/>
      <c r="L26" s="6"/>
      <c r="N26" s="6"/>
      <c r="O26" s="6"/>
      <c r="P26" s="6"/>
      <c r="R26" s="6"/>
      <c r="V26" s="7"/>
      <c r="Z26" s="6"/>
      <c r="AA26" s="6"/>
      <c r="AB26" s="5"/>
    </row>
    <row r="27" spans="1:28" ht="12.75" customHeight="1" x14ac:dyDescent="0.2">
      <c r="A27" s="6"/>
      <c r="D27" s="6"/>
      <c r="F27" s="6"/>
      <c r="G27" s="6"/>
      <c r="H27" s="6"/>
      <c r="I27" s="6"/>
      <c r="K27" s="6"/>
      <c r="L27" s="6"/>
      <c r="N27" s="6"/>
      <c r="O27" s="6"/>
      <c r="P27" s="6"/>
      <c r="R27" s="6"/>
      <c r="V27" s="7"/>
      <c r="Z27" s="6"/>
      <c r="AA27" s="6"/>
      <c r="AB27" s="5"/>
    </row>
    <row r="28" spans="1:28" x14ac:dyDescent="0.2">
      <c r="A28" s="6"/>
      <c r="D28" s="6"/>
      <c r="F28" s="6"/>
      <c r="G28" s="6"/>
      <c r="H28" s="6"/>
      <c r="I28" s="6"/>
      <c r="K28" s="6"/>
      <c r="L28" s="6"/>
      <c r="N28" s="6"/>
      <c r="O28" s="6"/>
      <c r="P28" s="6"/>
      <c r="R28" s="6"/>
      <c r="V28" s="7"/>
      <c r="Z28" s="6"/>
      <c r="AA28" s="6"/>
      <c r="AB28" s="5"/>
    </row>
    <row r="29" spans="1:28" x14ac:dyDescent="0.2">
      <c r="A29" s="6"/>
      <c r="D29" s="6"/>
      <c r="F29" s="6"/>
      <c r="G29" s="6"/>
      <c r="H29" s="6"/>
      <c r="I29" s="6"/>
      <c r="K29" s="6"/>
      <c r="L29" s="6"/>
      <c r="N29" s="6"/>
      <c r="O29" s="6"/>
      <c r="P29" s="6"/>
      <c r="R29" s="6"/>
      <c r="V29" s="7"/>
      <c r="Z29" s="6"/>
      <c r="AA29" s="6"/>
      <c r="AB29" s="5"/>
    </row>
    <row r="30" spans="1:28" x14ac:dyDescent="0.2">
      <c r="A30" s="6"/>
      <c r="D30" s="6"/>
      <c r="F30" s="6"/>
      <c r="G30" s="6"/>
      <c r="H30" s="6"/>
      <c r="I30" s="6"/>
      <c r="K30" s="6"/>
      <c r="L30" s="6"/>
      <c r="N30" s="6"/>
      <c r="O30" s="6"/>
      <c r="P30" s="6"/>
      <c r="R30" s="6"/>
      <c r="V30" s="7"/>
      <c r="Z30" s="6"/>
      <c r="AA30" s="6"/>
      <c r="AB30" s="5"/>
    </row>
    <row r="31" spans="1:28" x14ac:dyDescent="0.2">
      <c r="A31" s="6"/>
      <c r="D31" s="6"/>
      <c r="F31" s="6"/>
      <c r="G31" s="6"/>
      <c r="H31" s="6"/>
      <c r="I31" s="6"/>
      <c r="K31" s="6"/>
      <c r="L31" s="6"/>
      <c r="N31" s="6"/>
      <c r="O31" s="6"/>
      <c r="P31" s="6"/>
      <c r="R31" s="6"/>
      <c r="V31" s="7"/>
      <c r="Z31" s="6"/>
      <c r="AA31" s="6"/>
      <c r="AB31" s="5"/>
    </row>
    <row r="32" spans="1:28" x14ac:dyDescent="0.2">
      <c r="A32" s="6"/>
      <c r="D32" s="6"/>
      <c r="F32" s="6"/>
      <c r="G32" s="6"/>
      <c r="H32" s="6"/>
      <c r="I32" s="6"/>
      <c r="K32" s="6"/>
      <c r="L32" s="6"/>
      <c r="N32" s="6"/>
      <c r="O32" s="6"/>
      <c r="P32" s="6"/>
      <c r="R32" s="6"/>
      <c r="V32" s="7"/>
      <c r="Z32" s="6"/>
      <c r="AA32" s="6"/>
      <c r="AB32" s="5"/>
    </row>
    <row r="33" spans="1:28" x14ac:dyDescent="0.2">
      <c r="A33" s="6"/>
      <c r="D33" s="6"/>
      <c r="F33" s="6"/>
      <c r="G33" s="6"/>
      <c r="H33" s="6"/>
      <c r="I33" s="6"/>
      <c r="K33" s="6"/>
      <c r="L33" s="6"/>
      <c r="N33" s="6"/>
      <c r="O33" s="6"/>
      <c r="P33" s="6"/>
      <c r="R33" s="6"/>
      <c r="V33" s="7"/>
      <c r="Z33" s="6"/>
      <c r="AA33" s="6"/>
      <c r="AB33" s="5"/>
    </row>
    <row r="34" spans="1:28" x14ac:dyDescent="0.2">
      <c r="A34" s="6"/>
      <c r="D34" s="6"/>
      <c r="F34" s="6"/>
      <c r="G34" s="6"/>
      <c r="H34" s="6"/>
      <c r="I34" s="6"/>
      <c r="K34" s="6"/>
      <c r="L34" s="6"/>
      <c r="N34" s="6"/>
      <c r="O34" s="6"/>
      <c r="P34" s="6"/>
      <c r="R34" s="6"/>
      <c r="V34" s="7"/>
      <c r="Z34" s="6"/>
      <c r="AA34" s="6"/>
      <c r="AB34" s="5"/>
    </row>
    <row r="35" spans="1:28" x14ac:dyDescent="0.2">
      <c r="A35" s="6"/>
      <c r="D35" s="6"/>
      <c r="F35" s="6"/>
      <c r="G35" s="6"/>
      <c r="H35" s="6"/>
      <c r="I35" s="6"/>
      <c r="K35" s="6"/>
      <c r="L35" s="6"/>
      <c r="N35" s="6"/>
      <c r="O35" s="6"/>
      <c r="P35" s="6"/>
      <c r="R35" s="6"/>
      <c r="V35" s="7"/>
      <c r="Z35" s="6"/>
      <c r="AA35" s="6"/>
      <c r="AB35" s="5"/>
    </row>
    <row r="36" spans="1:28" x14ac:dyDescent="0.2">
      <c r="A36" s="6"/>
      <c r="D36" s="6"/>
      <c r="F36" s="6"/>
      <c r="G36" s="6"/>
      <c r="H36" s="6"/>
      <c r="I36" s="6"/>
      <c r="K36" s="6"/>
      <c r="L36" s="6"/>
      <c r="N36" s="6"/>
      <c r="O36" s="6"/>
      <c r="P36" s="6"/>
      <c r="R36" s="6"/>
      <c r="V36" s="7"/>
      <c r="Z36" s="6"/>
      <c r="AA36" s="6"/>
      <c r="AB36" s="5"/>
    </row>
    <row r="37" spans="1:28" x14ac:dyDescent="0.2">
      <c r="A37" s="6"/>
      <c r="D37" s="6"/>
      <c r="F37" s="6"/>
      <c r="G37" s="6"/>
      <c r="H37" s="6"/>
      <c r="I37" s="6"/>
      <c r="K37" s="6"/>
      <c r="L37" s="6"/>
      <c r="N37" s="6"/>
      <c r="O37" s="6"/>
      <c r="P37" s="6"/>
      <c r="R37" s="6"/>
      <c r="V37" s="7"/>
      <c r="Z37" s="6"/>
      <c r="AA37" s="6"/>
      <c r="AB37" s="5"/>
    </row>
    <row r="38" spans="1:28" x14ac:dyDescent="0.2">
      <c r="A38" s="6"/>
      <c r="D38" s="6"/>
      <c r="F38" s="6"/>
      <c r="G38" s="6"/>
      <c r="H38" s="6"/>
      <c r="I38" s="6"/>
      <c r="K38" s="6"/>
      <c r="L38" s="6"/>
      <c r="N38" s="6"/>
      <c r="O38" s="6"/>
      <c r="P38" s="6"/>
      <c r="R38" s="6"/>
      <c r="V38" s="7"/>
      <c r="Z38" s="6"/>
      <c r="AA38" s="6"/>
      <c r="AB38" s="5"/>
    </row>
    <row r="39" spans="1:28" x14ac:dyDescent="0.2">
      <c r="A39" s="6"/>
      <c r="D39" s="6"/>
      <c r="F39" s="6"/>
      <c r="G39" s="6"/>
      <c r="H39" s="6"/>
      <c r="I39" s="6"/>
      <c r="K39" s="6"/>
      <c r="L39" s="6"/>
      <c r="N39" s="6"/>
      <c r="O39" s="6"/>
      <c r="P39" s="6"/>
      <c r="R39" s="6"/>
      <c r="V39" s="7"/>
      <c r="Z39" s="6"/>
      <c r="AA39" s="6"/>
      <c r="AB39" s="5"/>
    </row>
    <row r="40" spans="1:28" x14ac:dyDescent="0.2">
      <c r="A40" s="6"/>
      <c r="D40" s="6"/>
      <c r="F40" s="6"/>
      <c r="G40" s="6"/>
      <c r="H40" s="6"/>
      <c r="I40" s="6"/>
      <c r="K40" s="6"/>
      <c r="L40" s="6"/>
      <c r="N40" s="6"/>
      <c r="O40" s="6"/>
      <c r="P40" s="6"/>
      <c r="R40" s="6"/>
      <c r="V40" s="7"/>
      <c r="Z40" s="6"/>
      <c r="AA40" s="6"/>
      <c r="AB40" s="5"/>
    </row>
    <row r="41" spans="1:28" x14ac:dyDescent="0.2">
      <c r="A41" s="6"/>
      <c r="D41" s="6"/>
      <c r="F41" s="6"/>
      <c r="G41" s="6"/>
      <c r="H41" s="6"/>
      <c r="I41" s="6"/>
      <c r="K41" s="6"/>
      <c r="L41" s="6"/>
      <c r="N41" s="6"/>
      <c r="O41" s="6"/>
      <c r="P41" s="6"/>
      <c r="R41" s="6"/>
      <c r="V41" s="7"/>
      <c r="Z41" s="6"/>
      <c r="AA41" s="6"/>
      <c r="AB41" s="5"/>
    </row>
    <row r="42" spans="1:28" x14ac:dyDescent="0.2">
      <c r="A42" s="6"/>
      <c r="D42" s="6"/>
      <c r="F42" s="6"/>
      <c r="G42" s="6"/>
      <c r="H42" s="6"/>
      <c r="I42" s="6"/>
      <c r="K42" s="6"/>
      <c r="L42" s="6"/>
      <c r="N42" s="6"/>
      <c r="O42" s="6"/>
      <c r="P42" s="6"/>
      <c r="R42" s="6"/>
      <c r="V42" s="7"/>
      <c r="Z42" s="6"/>
      <c r="AA42" s="6"/>
      <c r="AB42" s="5"/>
    </row>
    <row r="43" spans="1:28" x14ac:dyDescent="0.2">
      <c r="A43" s="6"/>
      <c r="D43" s="6"/>
      <c r="F43" s="6"/>
      <c r="G43" s="6"/>
      <c r="H43" s="6"/>
      <c r="I43" s="6"/>
      <c r="K43" s="6"/>
      <c r="L43" s="6"/>
      <c r="N43" s="6"/>
      <c r="O43" s="6"/>
      <c r="P43" s="6"/>
      <c r="R43" s="6"/>
      <c r="V43" s="7"/>
      <c r="Z43" s="6"/>
      <c r="AA43" s="6"/>
      <c r="AB43" s="5"/>
    </row>
    <row r="44" spans="1:28" ht="12.75" customHeight="1" x14ac:dyDescent="0.2">
      <c r="A44" s="6"/>
      <c r="D44" s="6"/>
      <c r="F44" s="6"/>
      <c r="G44" s="6"/>
      <c r="H44" s="6"/>
      <c r="I44" s="6"/>
      <c r="K44" s="6"/>
      <c r="L44" s="6"/>
      <c r="N44" s="6"/>
      <c r="O44" s="6"/>
      <c r="P44" s="6"/>
      <c r="R44" s="6"/>
      <c r="V44" s="7"/>
      <c r="Z44" s="6"/>
      <c r="AA44" s="6"/>
      <c r="AB44" s="5"/>
    </row>
    <row r="45" spans="1:28" ht="12.75" customHeight="1" x14ac:dyDescent="0.2">
      <c r="A45" s="6"/>
      <c r="D45" s="6"/>
      <c r="F45" s="6"/>
      <c r="G45" s="6"/>
      <c r="H45" s="6"/>
      <c r="I45" s="6"/>
      <c r="K45" s="6"/>
      <c r="L45" s="6"/>
      <c r="N45" s="6"/>
      <c r="O45" s="6"/>
      <c r="P45" s="6"/>
      <c r="R45" s="6"/>
      <c r="V45" s="7"/>
      <c r="Z45" s="6"/>
      <c r="AA45" s="6"/>
      <c r="AB45" s="5"/>
    </row>
    <row r="46" spans="1:28" ht="12.75" customHeight="1" x14ac:dyDescent="0.2">
      <c r="A46" s="6"/>
      <c r="D46" s="6"/>
      <c r="F46" s="6"/>
      <c r="G46" s="6"/>
      <c r="H46" s="6"/>
      <c r="I46" s="6"/>
      <c r="K46" s="6"/>
      <c r="L46" s="6"/>
      <c r="N46" s="6"/>
      <c r="O46" s="6"/>
      <c r="P46" s="6"/>
      <c r="R46" s="6"/>
      <c r="V46" s="7"/>
      <c r="Z46" s="6"/>
      <c r="AA46" s="6"/>
      <c r="AB46" s="5"/>
    </row>
    <row r="47" spans="1:28" ht="12.75" customHeight="1" x14ac:dyDescent="0.2">
      <c r="A47" s="6"/>
      <c r="D47" s="6"/>
      <c r="F47" s="6"/>
      <c r="G47" s="6"/>
      <c r="H47" s="6"/>
      <c r="I47" s="6"/>
      <c r="K47" s="6"/>
      <c r="L47" s="6"/>
      <c r="N47" s="6"/>
      <c r="O47" s="6"/>
      <c r="P47" s="6"/>
      <c r="R47" s="6"/>
      <c r="V47" s="7"/>
      <c r="Z47" s="6"/>
      <c r="AA47" s="6"/>
      <c r="AB47" s="5"/>
    </row>
    <row r="48" spans="1:28" ht="12.75" customHeight="1" x14ac:dyDescent="0.2">
      <c r="A48" s="6"/>
      <c r="D48" s="6"/>
      <c r="F48" s="6"/>
      <c r="G48" s="6"/>
      <c r="H48" s="6"/>
      <c r="I48" s="6"/>
      <c r="K48" s="6"/>
      <c r="L48" s="6"/>
      <c r="N48" s="6"/>
      <c r="O48" s="6"/>
      <c r="P48" s="6"/>
      <c r="R48" s="6"/>
      <c r="V48" s="7"/>
      <c r="Z48" s="6"/>
      <c r="AA48" s="6"/>
      <c r="AB48" s="5"/>
    </row>
    <row r="49" spans="1:28" ht="12.75" customHeight="1" x14ac:dyDescent="0.2">
      <c r="A49" s="6"/>
      <c r="D49" s="6"/>
      <c r="F49" s="6"/>
      <c r="G49" s="6"/>
      <c r="H49" s="6"/>
      <c r="I49" s="6"/>
      <c r="K49" s="6"/>
      <c r="L49" s="6"/>
      <c r="N49" s="6"/>
      <c r="O49" s="6"/>
      <c r="P49" s="6"/>
      <c r="R49" s="6"/>
      <c r="V49" s="7"/>
      <c r="Z49" s="6"/>
      <c r="AA49" s="6"/>
      <c r="AB49" s="5"/>
    </row>
    <row r="50" spans="1:28" ht="12.75" customHeight="1" x14ac:dyDescent="0.2">
      <c r="A50" s="6"/>
      <c r="D50" s="6"/>
      <c r="F50" s="6"/>
      <c r="G50" s="6"/>
      <c r="H50" s="6"/>
      <c r="I50" s="6"/>
      <c r="K50" s="6"/>
      <c r="L50" s="6"/>
      <c r="N50" s="6"/>
      <c r="O50" s="6"/>
      <c r="P50" s="6"/>
      <c r="R50" s="6"/>
      <c r="V50" s="7"/>
      <c r="Z50" s="6"/>
      <c r="AA50" s="6"/>
      <c r="AB50" s="5"/>
    </row>
    <row r="51" spans="1:28" ht="12.75" customHeight="1" x14ac:dyDescent="0.2">
      <c r="A51" s="6"/>
      <c r="D51" s="6"/>
      <c r="F51" s="6"/>
      <c r="G51" s="6"/>
      <c r="H51" s="6"/>
      <c r="I51" s="6"/>
      <c r="K51" s="6"/>
      <c r="L51" s="6"/>
      <c r="N51" s="6"/>
      <c r="O51" s="6"/>
      <c r="P51" s="6"/>
      <c r="R51" s="6"/>
      <c r="V51" s="7"/>
      <c r="Z51" s="6"/>
      <c r="AA51" s="6"/>
      <c r="AB51" s="5"/>
    </row>
    <row r="52" spans="1:28" ht="12.75" customHeight="1" x14ac:dyDescent="0.2">
      <c r="A52" s="6"/>
      <c r="D52" s="6"/>
      <c r="F52" s="6"/>
      <c r="G52" s="6"/>
      <c r="H52" s="6"/>
      <c r="I52" s="6"/>
      <c r="K52" s="6"/>
      <c r="L52" s="6"/>
      <c r="N52" s="6"/>
      <c r="O52" s="6"/>
      <c r="P52" s="6"/>
      <c r="R52" s="6"/>
      <c r="V52" s="7"/>
      <c r="Z52" s="6"/>
      <c r="AA52" s="6"/>
      <c r="AB52" s="5"/>
    </row>
    <row r="53" spans="1:28" ht="12.75" customHeight="1" x14ac:dyDescent="0.2">
      <c r="A53" s="6"/>
      <c r="D53" s="6"/>
      <c r="F53" s="6"/>
      <c r="G53" s="6"/>
      <c r="H53" s="6"/>
      <c r="I53" s="6"/>
      <c r="K53" s="6"/>
      <c r="L53" s="6"/>
      <c r="N53" s="6"/>
      <c r="O53" s="6"/>
      <c r="P53" s="6"/>
      <c r="R53" s="6"/>
      <c r="V53" s="7"/>
      <c r="Z53" s="6"/>
      <c r="AA53" s="6"/>
      <c r="AB53" s="5"/>
    </row>
    <row r="54" spans="1:28" ht="12.75" customHeight="1" x14ac:dyDescent="0.2">
      <c r="A54" s="6"/>
      <c r="D54" s="6"/>
      <c r="F54" s="6"/>
      <c r="G54" s="6"/>
      <c r="H54" s="6"/>
      <c r="I54" s="6"/>
      <c r="K54" s="6"/>
      <c r="L54" s="6"/>
      <c r="N54" s="6"/>
      <c r="O54" s="6"/>
      <c r="P54" s="6"/>
      <c r="R54" s="6"/>
      <c r="V54" s="7"/>
      <c r="Z54" s="6"/>
      <c r="AA54" s="6"/>
      <c r="AB54" s="5"/>
    </row>
    <row r="55" spans="1:28" ht="12.75" customHeight="1" x14ac:dyDescent="0.2">
      <c r="A55" s="6"/>
      <c r="D55" s="6"/>
      <c r="F55" s="6"/>
      <c r="G55" s="6"/>
      <c r="H55" s="6"/>
      <c r="I55" s="6"/>
      <c r="K55" s="6"/>
      <c r="L55" s="6"/>
      <c r="N55" s="6"/>
      <c r="O55" s="6"/>
      <c r="P55" s="6"/>
      <c r="R55" s="6"/>
      <c r="V55" s="7"/>
      <c r="Z55" s="6"/>
      <c r="AA55" s="6"/>
      <c r="AB55" s="5"/>
    </row>
    <row r="56" spans="1:28" ht="12.75" customHeight="1" x14ac:dyDescent="0.2">
      <c r="A56" s="6"/>
      <c r="D56" s="6"/>
      <c r="F56" s="6"/>
      <c r="G56" s="6"/>
      <c r="H56" s="6"/>
      <c r="I56" s="6"/>
      <c r="K56" s="6"/>
      <c r="L56" s="6"/>
      <c r="N56" s="6"/>
      <c r="O56" s="6"/>
      <c r="P56" s="6"/>
      <c r="R56" s="6"/>
      <c r="V56" s="7"/>
      <c r="Z56" s="6"/>
      <c r="AA56" s="6"/>
      <c r="AB56" s="5"/>
    </row>
    <row r="57" spans="1:28" ht="12.75" customHeight="1" x14ac:dyDescent="0.2">
      <c r="A57" s="6"/>
      <c r="D57" s="6"/>
      <c r="F57" s="6"/>
      <c r="G57" s="6"/>
      <c r="H57" s="6"/>
      <c r="I57" s="6"/>
      <c r="K57" s="6"/>
      <c r="L57" s="6"/>
      <c r="N57" s="6"/>
      <c r="O57" s="6"/>
      <c r="P57" s="6"/>
      <c r="R57" s="6"/>
      <c r="V57" s="7"/>
      <c r="Z57" s="6"/>
      <c r="AA57" s="6"/>
      <c r="AB57" s="5"/>
    </row>
    <row r="58" spans="1:28" ht="12.75" customHeight="1" x14ac:dyDescent="0.2">
      <c r="A58" s="6"/>
      <c r="D58" s="6"/>
      <c r="F58" s="6"/>
      <c r="G58" s="6"/>
      <c r="H58" s="6"/>
      <c r="I58" s="6"/>
      <c r="K58" s="6"/>
      <c r="L58" s="6"/>
      <c r="N58" s="6"/>
      <c r="O58" s="6"/>
      <c r="P58" s="6"/>
      <c r="R58" s="6"/>
      <c r="V58" s="7"/>
      <c r="Z58" s="6"/>
      <c r="AA58" s="6"/>
      <c r="AB58" s="5"/>
    </row>
    <row r="59" spans="1:28" ht="12.75" customHeight="1" x14ac:dyDescent="0.2">
      <c r="A59" s="6"/>
      <c r="D59" s="6"/>
      <c r="F59" s="6"/>
      <c r="G59" s="6"/>
      <c r="H59" s="6"/>
      <c r="I59" s="6"/>
      <c r="K59" s="6"/>
      <c r="L59" s="6"/>
      <c r="N59" s="6"/>
      <c r="O59" s="6"/>
      <c r="P59" s="6"/>
      <c r="R59" s="6"/>
      <c r="V59" s="7"/>
      <c r="Z59" s="6"/>
      <c r="AA59" s="6"/>
      <c r="AB59" s="5"/>
    </row>
    <row r="60" spans="1:28" ht="12.75" customHeight="1" x14ac:dyDescent="0.2">
      <c r="A60" s="6"/>
      <c r="D60" s="6"/>
      <c r="F60" s="6"/>
      <c r="G60" s="6"/>
      <c r="H60" s="6"/>
      <c r="I60" s="6"/>
      <c r="K60" s="6"/>
      <c r="L60" s="6"/>
      <c r="N60" s="6"/>
      <c r="O60" s="6"/>
      <c r="P60" s="6"/>
      <c r="R60" s="6"/>
      <c r="V60" s="7"/>
      <c r="Z60" s="6"/>
      <c r="AA60" s="6"/>
      <c r="AB60" s="5"/>
    </row>
    <row r="61" spans="1:28" ht="12.75" customHeight="1" x14ac:dyDescent="0.2">
      <c r="A61" s="6"/>
      <c r="D61" s="6"/>
      <c r="F61" s="6"/>
      <c r="G61" s="6"/>
      <c r="H61" s="6"/>
      <c r="I61" s="6"/>
      <c r="K61" s="6"/>
      <c r="L61" s="6"/>
      <c r="N61" s="6"/>
      <c r="O61" s="6"/>
      <c r="P61" s="6"/>
      <c r="R61" s="6"/>
      <c r="V61" s="7"/>
      <c r="Z61" s="6"/>
      <c r="AA61" s="6"/>
      <c r="AB61" s="5"/>
    </row>
    <row r="62" spans="1:28" ht="12.75" customHeight="1" x14ac:dyDescent="0.2">
      <c r="A62" s="6"/>
      <c r="D62" s="6"/>
      <c r="F62" s="6"/>
      <c r="G62" s="6"/>
      <c r="H62" s="6"/>
      <c r="I62" s="6"/>
      <c r="K62" s="6"/>
      <c r="L62" s="6"/>
      <c r="N62" s="6"/>
      <c r="O62" s="6"/>
      <c r="P62" s="6"/>
      <c r="R62" s="6"/>
      <c r="V62" s="7"/>
      <c r="Z62" s="6"/>
      <c r="AA62" s="6"/>
      <c r="AB62" s="5"/>
    </row>
    <row r="63" spans="1:28" ht="12.75" customHeight="1" x14ac:dyDescent="0.2">
      <c r="A63" s="6"/>
      <c r="D63" s="6"/>
      <c r="F63" s="6"/>
      <c r="G63" s="6"/>
      <c r="H63" s="6"/>
      <c r="I63" s="6"/>
      <c r="K63" s="6"/>
      <c r="L63" s="6"/>
      <c r="N63" s="6"/>
      <c r="O63" s="6"/>
      <c r="P63" s="6"/>
      <c r="R63" s="6"/>
      <c r="V63" s="7"/>
      <c r="Z63" s="6"/>
      <c r="AA63" s="6"/>
      <c r="AB63" s="5"/>
    </row>
    <row r="64" spans="1:28" ht="12.75" customHeight="1" x14ac:dyDescent="0.2">
      <c r="A64" s="6"/>
      <c r="D64" s="6"/>
      <c r="F64" s="6"/>
      <c r="G64" s="6"/>
      <c r="H64" s="6"/>
      <c r="I64" s="6"/>
      <c r="K64" s="6"/>
      <c r="L64" s="6"/>
      <c r="N64" s="6"/>
      <c r="O64" s="6"/>
      <c r="P64" s="6"/>
      <c r="R64" s="6"/>
      <c r="V64" s="7"/>
      <c r="Z64" s="6"/>
      <c r="AA64" s="6"/>
      <c r="AB64" s="5"/>
    </row>
    <row r="65" spans="1:28" ht="12.75" customHeight="1" x14ac:dyDescent="0.2">
      <c r="A65" s="6"/>
      <c r="D65" s="6"/>
      <c r="F65" s="6"/>
      <c r="G65" s="6"/>
      <c r="H65" s="6"/>
      <c r="I65" s="6"/>
      <c r="K65" s="6"/>
      <c r="L65" s="6"/>
      <c r="N65" s="6"/>
      <c r="O65" s="6"/>
      <c r="P65" s="6"/>
      <c r="R65" s="6"/>
      <c r="V65" s="7"/>
      <c r="Z65" s="6"/>
      <c r="AA65" s="6"/>
      <c r="AB65" s="5"/>
    </row>
    <row r="66" spans="1:28" ht="12.75" customHeight="1" x14ac:dyDescent="0.2">
      <c r="A66" s="6"/>
      <c r="D66" s="6"/>
      <c r="F66" s="6"/>
      <c r="G66" s="6"/>
      <c r="H66" s="6"/>
      <c r="I66" s="6"/>
      <c r="K66" s="6"/>
      <c r="L66" s="6"/>
      <c r="N66" s="6"/>
      <c r="O66" s="6"/>
      <c r="P66" s="6"/>
      <c r="R66" s="6"/>
      <c r="V66" s="7"/>
      <c r="Z66" s="6"/>
      <c r="AA66" s="6"/>
      <c r="AB66" s="5"/>
    </row>
    <row r="67" spans="1:28" ht="12.75" customHeight="1" x14ac:dyDescent="0.2">
      <c r="A67" s="6"/>
      <c r="D67" s="6"/>
      <c r="F67" s="6"/>
      <c r="G67" s="6"/>
      <c r="H67" s="6"/>
      <c r="I67" s="6"/>
      <c r="K67" s="6"/>
      <c r="L67" s="6"/>
      <c r="N67" s="6"/>
      <c r="O67" s="6"/>
      <c r="P67" s="6"/>
      <c r="R67" s="6"/>
      <c r="V67" s="7"/>
      <c r="Z67" s="6"/>
      <c r="AA67" s="6"/>
      <c r="AB67" s="5"/>
    </row>
    <row r="68" spans="1:28" ht="12.75" customHeight="1" x14ac:dyDescent="0.2">
      <c r="A68" s="6"/>
      <c r="D68" s="6"/>
      <c r="F68" s="6"/>
      <c r="G68" s="6"/>
      <c r="H68" s="6"/>
      <c r="I68" s="6"/>
      <c r="K68" s="6"/>
      <c r="L68" s="6"/>
      <c r="N68" s="6"/>
      <c r="O68" s="6"/>
      <c r="P68" s="6"/>
      <c r="R68" s="6"/>
      <c r="V68" s="7"/>
      <c r="Z68" s="6"/>
      <c r="AA68" s="6"/>
      <c r="AB68" s="5"/>
    </row>
    <row r="69" spans="1:28" ht="12.75" customHeight="1" x14ac:dyDescent="0.2">
      <c r="A69" s="6"/>
      <c r="D69" s="6"/>
      <c r="F69" s="6"/>
      <c r="G69" s="6"/>
      <c r="H69" s="6"/>
      <c r="I69" s="6"/>
      <c r="K69" s="6"/>
      <c r="L69" s="6"/>
      <c r="N69" s="6"/>
      <c r="O69" s="6"/>
      <c r="P69" s="6"/>
      <c r="R69" s="6"/>
      <c r="V69" s="7"/>
      <c r="Z69" s="6"/>
      <c r="AA69" s="6"/>
      <c r="AB69" s="5"/>
    </row>
    <row r="70" spans="1:28" ht="12.75" customHeight="1" x14ac:dyDescent="0.2">
      <c r="A70" s="6"/>
      <c r="D70" s="6"/>
      <c r="F70" s="6"/>
      <c r="G70" s="6"/>
      <c r="H70" s="6"/>
      <c r="I70" s="6"/>
      <c r="K70" s="6"/>
      <c r="L70" s="6"/>
      <c r="N70" s="6"/>
      <c r="O70" s="6"/>
      <c r="P70" s="6"/>
      <c r="R70" s="6"/>
      <c r="V70" s="7"/>
      <c r="Z70" s="6"/>
      <c r="AA70" s="6"/>
      <c r="AB70" s="5"/>
    </row>
    <row r="71" spans="1:28" ht="12.75" customHeight="1" x14ac:dyDescent="0.2">
      <c r="A71" s="6"/>
      <c r="D71" s="6"/>
      <c r="F71" s="6"/>
      <c r="G71" s="6"/>
      <c r="H71" s="6"/>
      <c r="I71" s="6"/>
      <c r="K71" s="6"/>
      <c r="L71" s="6"/>
      <c r="N71" s="6"/>
      <c r="O71" s="6"/>
      <c r="P71" s="6"/>
      <c r="R71" s="6"/>
      <c r="V71" s="7"/>
      <c r="Z71" s="6"/>
      <c r="AA71" s="6"/>
      <c r="AB71" s="5"/>
    </row>
    <row r="72" spans="1:28" ht="12.75" customHeight="1" x14ac:dyDescent="0.2">
      <c r="A72" s="6"/>
      <c r="D72" s="6"/>
      <c r="F72" s="6"/>
      <c r="G72" s="6"/>
      <c r="H72" s="6"/>
      <c r="I72" s="6"/>
      <c r="K72" s="6"/>
      <c r="L72" s="6"/>
      <c r="N72" s="6"/>
      <c r="O72" s="6"/>
      <c r="P72" s="6"/>
      <c r="R72" s="6"/>
      <c r="V72" s="7"/>
      <c r="Z72" s="6"/>
      <c r="AA72" s="6"/>
      <c r="AB72" s="5"/>
    </row>
    <row r="73" spans="1:28" ht="12.75" customHeight="1" x14ac:dyDescent="0.2">
      <c r="A73" s="6"/>
      <c r="D73" s="6"/>
      <c r="F73" s="6"/>
      <c r="G73" s="6"/>
      <c r="H73" s="6"/>
      <c r="I73" s="6"/>
      <c r="K73" s="6"/>
      <c r="L73" s="6"/>
      <c r="N73" s="6"/>
      <c r="O73" s="6"/>
      <c r="P73" s="6"/>
      <c r="R73" s="6"/>
      <c r="V73" s="7"/>
      <c r="Z73" s="6"/>
      <c r="AA73" s="6"/>
      <c r="AB73" s="5"/>
    </row>
    <row r="74" spans="1:28" ht="12.75" customHeight="1" x14ac:dyDescent="0.2">
      <c r="A74" s="6"/>
      <c r="D74" s="6"/>
      <c r="F74" s="6"/>
      <c r="G74" s="6"/>
      <c r="H74" s="6"/>
      <c r="I74" s="6"/>
      <c r="K74" s="6"/>
      <c r="L74" s="6"/>
      <c r="N74" s="6"/>
      <c r="O74" s="6"/>
      <c r="P74" s="6"/>
      <c r="R74" s="6"/>
      <c r="V74" s="7"/>
      <c r="Z74" s="6"/>
      <c r="AA74" s="6"/>
      <c r="AB74" s="5"/>
    </row>
    <row r="75" spans="1:28" ht="12.75" customHeight="1" x14ac:dyDescent="0.2">
      <c r="A75" s="6"/>
      <c r="D75" s="6"/>
      <c r="F75" s="6"/>
      <c r="G75" s="6"/>
      <c r="H75" s="6"/>
      <c r="I75" s="6"/>
      <c r="K75" s="6"/>
      <c r="L75" s="6"/>
      <c r="N75" s="6"/>
      <c r="O75" s="6"/>
      <c r="P75" s="6"/>
      <c r="R75" s="6"/>
      <c r="V75" s="7"/>
      <c r="Z75" s="6"/>
      <c r="AA75" s="6"/>
      <c r="AB75" s="5"/>
    </row>
    <row r="76" spans="1:28" ht="12.75" customHeight="1" x14ac:dyDescent="0.2">
      <c r="A76" s="6"/>
      <c r="D76" s="6"/>
      <c r="F76" s="6"/>
      <c r="G76" s="6"/>
      <c r="H76" s="6"/>
      <c r="I76" s="6"/>
      <c r="K76" s="6"/>
      <c r="L76" s="6"/>
      <c r="N76" s="6"/>
      <c r="O76" s="6"/>
      <c r="P76" s="6"/>
      <c r="R76" s="6"/>
      <c r="V76" s="7"/>
      <c r="Z76" s="6"/>
      <c r="AA76" s="6"/>
      <c r="AB76" s="5"/>
    </row>
    <row r="77" spans="1:28" ht="12.75" customHeight="1" x14ac:dyDescent="0.2">
      <c r="A77" s="6"/>
      <c r="D77" s="6"/>
      <c r="F77" s="6"/>
      <c r="G77" s="6"/>
      <c r="H77" s="6"/>
      <c r="I77" s="6"/>
      <c r="K77" s="6"/>
      <c r="L77" s="6"/>
      <c r="N77" s="6"/>
      <c r="O77" s="6"/>
      <c r="P77" s="6"/>
      <c r="R77" s="6"/>
      <c r="V77" s="7"/>
      <c r="Z77" s="6"/>
      <c r="AA77" s="6"/>
      <c r="AB77" s="5"/>
    </row>
    <row r="78" spans="1:28" ht="12.75" customHeight="1" x14ac:dyDescent="0.2">
      <c r="A78" s="6"/>
      <c r="D78" s="6"/>
      <c r="F78" s="6"/>
      <c r="G78" s="6"/>
      <c r="H78" s="6"/>
      <c r="I78" s="6"/>
      <c r="K78" s="6"/>
      <c r="L78" s="6"/>
      <c r="N78" s="6"/>
      <c r="O78" s="6"/>
      <c r="P78" s="6"/>
      <c r="R78" s="6"/>
      <c r="V78" s="7"/>
      <c r="Z78" s="6"/>
      <c r="AA78" s="6"/>
      <c r="AB78" s="5"/>
    </row>
    <row r="79" spans="1:28" ht="12.75" customHeight="1" x14ac:dyDescent="0.2">
      <c r="A79" s="6"/>
      <c r="D79" s="6"/>
      <c r="F79" s="6"/>
      <c r="G79" s="6"/>
      <c r="H79" s="6"/>
      <c r="I79" s="6"/>
      <c r="K79" s="6"/>
      <c r="L79" s="6"/>
      <c r="N79" s="6"/>
      <c r="O79" s="6"/>
      <c r="P79" s="6"/>
      <c r="R79" s="6"/>
      <c r="V79" s="7"/>
      <c r="Z79" s="6"/>
      <c r="AA79" s="6"/>
      <c r="AB79" s="5"/>
    </row>
    <row r="80" spans="1:28" ht="12.75" customHeight="1" x14ac:dyDescent="0.2">
      <c r="A80" s="6"/>
      <c r="D80" s="6"/>
      <c r="F80" s="6"/>
      <c r="G80" s="6"/>
      <c r="H80" s="6"/>
      <c r="I80" s="6"/>
      <c r="K80" s="6"/>
      <c r="L80" s="6"/>
      <c r="N80" s="6"/>
      <c r="O80" s="6"/>
      <c r="P80" s="6"/>
      <c r="R80" s="6"/>
      <c r="V80" s="7"/>
      <c r="Z80" s="6"/>
      <c r="AA80" s="6"/>
      <c r="AB80" s="5"/>
    </row>
    <row r="81" spans="1:28" ht="12.75" customHeight="1" x14ac:dyDescent="0.2">
      <c r="A81" s="6"/>
      <c r="D81" s="6"/>
      <c r="F81" s="6"/>
      <c r="G81" s="6"/>
      <c r="H81" s="6"/>
      <c r="I81" s="6"/>
      <c r="K81" s="6"/>
      <c r="L81" s="6"/>
      <c r="N81" s="6"/>
      <c r="O81" s="6"/>
      <c r="P81" s="6"/>
      <c r="R81" s="6"/>
      <c r="V81" s="7"/>
      <c r="Z81" s="6"/>
      <c r="AA81" s="6"/>
      <c r="AB81" s="5"/>
    </row>
    <row r="82" spans="1:28" ht="12.75" customHeight="1" x14ac:dyDescent="0.2">
      <c r="A82" s="6"/>
      <c r="D82" s="6"/>
      <c r="F82" s="6"/>
      <c r="G82" s="6"/>
      <c r="H82" s="6"/>
      <c r="I82" s="6"/>
      <c r="K82" s="6"/>
      <c r="L82" s="6"/>
      <c r="N82" s="6"/>
      <c r="O82" s="6"/>
      <c r="P82" s="6"/>
      <c r="R82" s="6"/>
      <c r="V82" s="7"/>
      <c r="Z82" s="6"/>
      <c r="AA82" s="6"/>
      <c r="AB82" s="5"/>
    </row>
    <row r="83" spans="1:28" ht="12.75" customHeight="1" x14ac:dyDescent="0.2">
      <c r="A83" s="6"/>
      <c r="D83" s="6"/>
      <c r="F83" s="6"/>
      <c r="G83" s="6"/>
      <c r="H83" s="6"/>
      <c r="I83" s="6"/>
      <c r="K83" s="6"/>
      <c r="L83" s="6"/>
      <c r="N83" s="6"/>
      <c r="O83" s="6"/>
      <c r="P83" s="6"/>
      <c r="R83" s="6"/>
      <c r="V83" s="7"/>
      <c r="Z83" s="6"/>
      <c r="AA83" s="6"/>
      <c r="AB83" s="5"/>
    </row>
    <row r="84" spans="1:28" ht="12.75" customHeight="1" x14ac:dyDescent="0.2">
      <c r="A84" s="6"/>
      <c r="D84" s="6"/>
      <c r="F84" s="6"/>
      <c r="G84" s="6"/>
      <c r="H84" s="6"/>
      <c r="I84" s="6"/>
      <c r="K84" s="6"/>
      <c r="L84" s="6"/>
      <c r="N84" s="6"/>
      <c r="O84" s="6"/>
      <c r="P84" s="6"/>
      <c r="R84" s="6"/>
      <c r="V84" s="7"/>
      <c r="Z84" s="6"/>
      <c r="AA84" s="6"/>
      <c r="AB84" s="5"/>
    </row>
    <row r="85" spans="1:28" ht="12.75" customHeight="1" x14ac:dyDescent="0.2">
      <c r="A85" s="6"/>
      <c r="D85" s="6"/>
      <c r="F85" s="6"/>
      <c r="G85" s="6"/>
      <c r="H85" s="6"/>
      <c r="I85" s="6"/>
      <c r="K85" s="6"/>
      <c r="L85" s="6"/>
      <c r="N85" s="6"/>
      <c r="O85" s="6"/>
      <c r="P85" s="6"/>
      <c r="R85" s="6"/>
      <c r="V85" s="7"/>
      <c r="Z85" s="6"/>
      <c r="AA85" s="6"/>
      <c r="AB85" s="5"/>
    </row>
    <row r="86" spans="1:28" ht="12.75" customHeight="1" x14ac:dyDescent="0.2">
      <c r="A86" s="6"/>
      <c r="D86" s="6"/>
      <c r="F86" s="6"/>
      <c r="G86" s="6"/>
      <c r="H86" s="6"/>
      <c r="I86" s="6"/>
      <c r="K86" s="6"/>
      <c r="L86" s="6"/>
      <c r="N86" s="6"/>
      <c r="O86" s="6"/>
      <c r="P86" s="6"/>
      <c r="R86" s="6"/>
      <c r="V86" s="7"/>
      <c r="Z86" s="6"/>
      <c r="AA86" s="6"/>
      <c r="AB86" s="5"/>
    </row>
    <row r="87" spans="1:28" ht="12.75" customHeight="1" x14ac:dyDescent="0.2">
      <c r="A87" s="6"/>
      <c r="D87" s="6"/>
      <c r="F87" s="6"/>
      <c r="G87" s="6"/>
      <c r="H87" s="6"/>
      <c r="I87" s="6"/>
      <c r="K87" s="6"/>
      <c r="L87" s="6"/>
      <c r="N87" s="6"/>
      <c r="O87" s="6"/>
      <c r="P87" s="6"/>
      <c r="R87" s="6"/>
      <c r="V87" s="7"/>
      <c r="Z87" s="6"/>
      <c r="AA87" s="6"/>
      <c r="AB87" s="5"/>
    </row>
    <row r="88" spans="1:28" ht="12.75" customHeight="1" x14ac:dyDescent="0.2">
      <c r="A88" s="6"/>
      <c r="D88" s="6"/>
      <c r="F88" s="6"/>
      <c r="G88" s="6"/>
      <c r="H88" s="6"/>
      <c r="I88" s="6"/>
      <c r="K88" s="6"/>
      <c r="L88" s="6"/>
      <c r="N88" s="6"/>
      <c r="O88" s="6"/>
      <c r="P88" s="6"/>
      <c r="R88" s="6"/>
      <c r="V88" s="7"/>
      <c r="Z88" s="6"/>
      <c r="AA88" s="6"/>
      <c r="AB88" s="5"/>
    </row>
    <row r="89" spans="1:28" ht="12.75" customHeight="1" x14ac:dyDescent="0.2">
      <c r="A89" s="6"/>
      <c r="D89" s="6"/>
      <c r="F89" s="6"/>
      <c r="G89" s="6"/>
      <c r="H89" s="6"/>
      <c r="I89" s="6"/>
      <c r="K89" s="6"/>
      <c r="L89" s="6"/>
      <c r="N89" s="6"/>
      <c r="O89" s="6"/>
      <c r="P89" s="6"/>
      <c r="R89" s="6"/>
      <c r="V89" s="7"/>
      <c r="Z89" s="6"/>
      <c r="AA89" s="6"/>
      <c r="AB89" s="5"/>
    </row>
    <row r="90" spans="1:28" ht="12.75" customHeight="1" x14ac:dyDescent="0.2">
      <c r="A90" s="6"/>
      <c r="D90" s="6"/>
      <c r="F90" s="6"/>
      <c r="G90" s="6"/>
      <c r="H90" s="6"/>
      <c r="I90" s="6"/>
      <c r="K90" s="6"/>
      <c r="L90" s="6"/>
      <c r="N90" s="6"/>
      <c r="O90" s="6"/>
      <c r="P90" s="6"/>
      <c r="R90" s="6"/>
      <c r="V90" s="7"/>
      <c r="Z90" s="6"/>
      <c r="AA90" s="6"/>
      <c r="AB90" s="5"/>
    </row>
    <row r="91" spans="1:28" ht="12.75" customHeight="1" x14ac:dyDescent="0.2">
      <c r="A91" s="6"/>
      <c r="D91" s="6"/>
      <c r="F91" s="6"/>
      <c r="G91" s="6"/>
      <c r="H91" s="6"/>
      <c r="I91" s="6"/>
      <c r="K91" s="6"/>
      <c r="L91" s="6"/>
      <c r="N91" s="6"/>
      <c r="O91" s="6"/>
      <c r="P91" s="6"/>
      <c r="R91" s="6"/>
      <c r="V91" s="7"/>
      <c r="Z91" s="6"/>
      <c r="AA91" s="6"/>
      <c r="AB91" s="5"/>
    </row>
    <row r="92" spans="1:28" ht="12.75" customHeight="1" x14ac:dyDescent="0.2">
      <c r="A92" s="6"/>
      <c r="D92" s="6"/>
      <c r="F92" s="6"/>
      <c r="G92" s="6"/>
      <c r="H92" s="6"/>
      <c r="I92" s="6"/>
      <c r="K92" s="6"/>
      <c r="L92" s="6"/>
      <c r="N92" s="6"/>
      <c r="O92" s="6"/>
      <c r="P92" s="6"/>
      <c r="R92" s="6"/>
      <c r="V92" s="7"/>
      <c r="Z92" s="6"/>
      <c r="AA92" s="6"/>
      <c r="AB92" s="5"/>
    </row>
    <row r="93" spans="1:28" ht="12.75" customHeight="1" x14ac:dyDescent="0.2">
      <c r="A93" s="6"/>
      <c r="D93" s="6"/>
      <c r="F93" s="6"/>
      <c r="G93" s="6"/>
      <c r="H93" s="6"/>
      <c r="I93" s="6"/>
      <c r="K93" s="6"/>
      <c r="L93" s="6"/>
      <c r="N93" s="6"/>
      <c r="O93" s="6"/>
      <c r="P93" s="6"/>
      <c r="R93" s="6"/>
      <c r="V93" s="7"/>
      <c r="Z93" s="6"/>
      <c r="AA93" s="6"/>
      <c r="AB93" s="5"/>
    </row>
    <row r="94" spans="1:28" ht="12.75" customHeight="1" x14ac:dyDescent="0.2">
      <c r="A94" s="6"/>
      <c r="D94" s="6"/>
      <c r="F94" s="6"/>
      <c r="G94" s="6"/>
      <c r="H94" s="6"/>
      <c r="I94" s="6"/>
      <c r="K94" s="6"/>
      <c r="L94" s="6"/>
      <c r="N94" s="6"/>
      <c r="O94" s="6"/>
      <c r="P94" s="6"/>
      <c r="R94" s="6"/>
      <c r="V94" s="7"/>
      <c r="Z94" s="6"/>
      <c r="AA94" s="6"/>
      <c r="AB94" s="5"/>
    </row>
    <row r="95" spans="1:28" ht="12.75" customHeight="1" x14ac:dyDescent="0.2">
      <c r="A95" s="6"/>
      <c r="D95" s="6"/>
      <c r="F95" s="6"/>
      <c r="G95" s="6"/>
      <c r="H95" s="6"/>
      <c r="I95" s="6"/>
      <c r="K95" s="6"/>
      <c r="L95" s="6"/>
      <c r="N95" s="6"/>
      <c r="O95" s="6"/>
      <c r="P95" s="6"/>
      <c r="R95" s="6"/>
      <c r="V95" s="7"/>
      <c r="Z95" s="6"/>
      <c r="AA95" s="6"/>
      <c r="AB95" s="5"/>
    </row>
    <row r="96" spans="1:28" ht="12.75" customHeight="1" x14ac:dyDescent="0.2">
      <c r="A96" s="6"/>
      <c r="D96" s="6"/>
      <c r="F96" s="6"/>
      <c r="G96" s="6"/>
      <c r="H96" s="6"/>
      <c r="I96" s="6"/>
      <c r="K96" s="6"/>
      <c r="L96" s="6"/>
      <c r="N96" s="6"/>
      <c r="O96" s="6"/>
      <c r="P96" s="6"/>
      <c r="R96" s="6"/>
      <c r="V96" s="7"/>
      <c r="Z96" s="6"/>
      <c r="AA96" s="6"/>
      <c r="AB96" s="5"/>
    </row>
    <row r="97" spans="1:28" ht="12.75" customHeight="1" x14ac:dyDescent="0.2">
      <c r="A97" s="6"/>
      <c r="D97" s="6"/>
      <c r="F97" s="6"/>
      <c r="G97" s="6"/>
      <c r="H97" s="6"/>
      <c r="I97" s="6"/>
      <c r="K97" s="6"/>
      <c r="L97" s="6"/>
      <c r="N97" s="6"/>
      <c r="O97" s="6"/>
      <c r="P97" s="6"/>
      <c r="R97" s="6"/>
      <c r="V97" s="7"/>
      <c r="Z97" s="6"/>
      <c r="AA97" s="6"/>
      <c r="AB97" s="5"/>
    </row>
    <row r="98" spans="1:28" ht="12.75" customHeight="1" x14ac:dyDescent="0.2">
      <c r="A98" s="6"/>
      <c r="D98" s="6"/>
      <c r="F98" s="6"/>
      <c r="G98" s="6"/>
      <c r="H98" s="6"/>
      <c r="I98" s="6"/>
      <c r="K98" s="6"/>
      <c r="L98" s="6"/>
      <c r="N98" s="6"/>
      <c r="O98" s="6"/>
      <c r="P98" s="6"/>
      <c r="R98" s="6"/>
      <c r="V98" s="7"/>
      <c r="Z98" s="6"/>
      <c r="AA98" s="6"/>
      <c r="AB98" s="5"/>
    </row>
    <row r="99" spans="1:28" ht="12.75" customHeight="1" x14ac:dyDescent="0.2">
      <c r="A99" s="6"/>
      <c r="D99" s="6"/>
      <c r="F99" s="6"/>
      <c r="G99" s="6"/>
      <c r="H99" s="6"/>
      <c r="I99" s="6"/>
      <c r="K99" s="6"/>
      <c r="L99" s="6"/>
      <c r="N99" s="6"/>
      <c r="O99" s="6"/>
      <c r="P99" s="6"/>
      <c r="R99" s="6"/>
      <c r="V99" s="7"/>
      <c r="Z99" s="6"/>
      <c r="AA99" s="6"/>
      <c r="AB99" s="5"/>
    </row>
    <row r="100" spans="1:28" ht="12.75" customHeight="1" x14ac:dyDescent="0.2">
      <c r="A100" s="6"/>
      <c r="D100" s="6"/>
      <c r="F100" s="6"/>
      <c r="G100" s="6"/>
      <c r="H100" s="6"/>
      <c r="I100" s="6"/>
      <c r="K100" s="6"/>
      <c r="L100" s="6"/>
      <c r="N100" s="6"/>
      <c r="O100" s="6"/>
      <c r="P100" s="6"/>
      <c r="R100" s="6"/>
      <c r="V100" s="7"/>
      <c r="Z100" s="6"/>
      <c r="AA100" s="6"/>
      <c r="AB100" s="5"/>
    </row>
    <row r="101" spans="1:28" ht="12.75" customHeight="1" x14ac:dyDescent="0.2">
      <c r="A101" s="6"/>
      <c r="D101" s="6"/>
      <c r="F101" s="6"/>
      <c r="G101" s="6"/>
      <c r="H101" s="6"/>
      <c r="I101" s="6"/>
      <c r="K101" s="6"/>
      <c r="L101" s="6"/>
      <c r="N101" s="6"/>
      <c r="O101" s="6"/>
      <c r="P101" s="6"/>
      <c r="R101" s="6"/>
      <c r="V101" s="7"/>
      <c r="Z101" s="6"/>
      <c r="AA101" s="6"/>
      <c r="AB101" s="5"/>
    </row>
    <row r="102" spans="1:28" ht="12.75" customHeight="1" x14ac:dyDescent="0.2">
      <c r="A102" s="6"/>
      <c r="D102" s="6"/>
      <c r="F102" s="6"/>
      <c r="G102" s="6"/>
      <c r="H102" s="6"/>
      <c r="I102" s="6"/>
      <c r="K102" s="6"/>
      <c r="L102" s="6"/>
      <c r="N102" s="6"/>
      <c r="O102" s="6"/>
      <c r="P102" s="6"/>
      <c r="R102" s="6"/>
      <c r="V102" s="7"/>
      <c r="Z102" s="6"/>
      <c r="AA102" s="6"/>
      <c r="AB102" s="5"/>
    </row>
    <row r="103" spans="1:28" ht="12.75" customHeight="1" x14ac:dyDescent="0.2">
      <c r="A103" s="6"/>
      <c r="D103" s="6"/>
      <c r="F103" s="6"/>
      <c r="G103" s="6"/>
      <c r="H103" s="6"/>
      <c r="I103" s="6"/>
      <c r="K103" s="6"/>
      <c r="L103" s="6"/>
      <c r="N103" s="6"/>
      <c r="O103" s="6"/>
      <c r="P103" s="6"/>
      <c r="R103" s="6"/>
      <c r="V103" s="7"/>
      <c r="Z103" s="6"/>
      <c r="AA103" s="6"/>
      <c r="AB103" s="5"/>
    </row>
    <row r="104" spans="1:28" ht="12.75" customHeight="1" x14ac:dyDescent="0.2">
      <c r="A104" s="6"/>
      <c r="D104" s="6"/>
      <c r="F104" s="6"/>
      <c r="G104" s="6"/>
      <c r="H104" s="6"/>
      <c r="I104" s="6"/>
      <c r="K104" s="6"/>
      <c r="L104" s="6"/>
      <c r="N104" s="6"/>
      <c r="O104" s="6"/>
      <c r="P104" s="6"/>
      <c r="R104" s="6"/>
      <c r="V104" s="7"/>
      <c r="Z104" s="6"/>
      <c r="AA104" s="6"/>
      <c r="AB104" s="5"/>
    </row>
    <row r="105" spans="1:28" ht="12.75" customHeight="1" x14ac:dyDescent="0.2">
      <c r="A105" s="6"/>
      <c r="D105" s="6"/>
      <c r="F105" s="6"/>
      <c r="G105" s="6"/>
      <c r="H105" s="6"/>
      <c r="I105" s="6"/>
      <c r="K105" s="6"/>
      <c r="L105" s="6"/>
      <c r="N105" s="6"/>
      <c r="O105" s="6"/>
      <c r="P105" s="6"/>
      <c r="R105" s="6"/>
      <c r="V105" s="7"/>
      <c r="Z105" s="6"/>
      <c r="AA105" s="6"/>
      <c r="AB105" s="5"/>
    </row>
    <row r="106" spans="1:28" ht="12.75" customHeight="1" x14ac:dyDescent="0.2">
      <c r="A106" s="6"/>
      <c r="D106" s="6"/>
      <c r="F106" s="6"/>
      <c r="G106" s="6"/>
      <c r="H106" s="6"/>
      <c r="I106" s="6"/>
      <c r="K106" s="6"/>
      <c r="L106" s="6"/>
      <c r="N106" s="6"/>
      <c r="O106" s="6"/>
      <c r="P106" s="6"/>
      <c r="R106" s="6"/>
      <c r="V106" s="7"/>
      <c r="Z106" s="6"/>
      <c r="AA106" s="6"/>
      <c r="AB106" s="5"/>
    </row>
    <row r="107" spans="1:28" ht="12.75" customHeight="1" x14ac:dyDescent="0.2">
      <c r="A107" s="6"/>
      <c r="D107" s="6"/>
      <c r="F107" s="6"/>
      <c r="G107" s="6"/>
      <c r="H107" s="6"/>
      <c r="I107" s="6"/>
      <c r="K107" s="6"/>
      <c r="L107" s="6"/>
      <c r="N107" s="6"/>
      <c r="O107" s="6"/>
      <c r="P107" s="6"/>
      <c r="R107" s="6"/>
      <c r="V107" s="7"/>
      <c r="Z107" s="6"/>
      <c r="AA107" s="6"/>
      <c r="AB107" s="5"/>
    </row>
    <row r="108" spans="1:28" ht="12.75" customHeight="1" x14ac:dyDescent="0.2">
      <c r="A108" s="6"/>
      <c r="D108" s="6"/>
      <c r="F108" s="6"/>
      <c r="G108" s="6"/>
      <c r="H108" s="6"/>
      <c r="I108" s="6"/>
      <c r="K108" s="6"/>
      <c r="L108" s="6"/>
      <c r="N108" s="6"/>
      <c r="O108" s="6"/>
      <c r="P108" s="6"/>
      <c r="R108" s="6"/>
      <c r="V108" s="7"/>
      <c r="Z108" s="6"/>
      <c r="AA108" s="6"/>
      <c r="AB108" s="5"/>
    </row>
    <row r="109" spans="1:28" ht="12.75" customHeight="1" x14ac:dyDescent="0.2">
      <c r="A109" s="6"/>
      <c r="D109" s="6"/>
      <c r="F109" s="6"/>
      <c r="G109" s="6"/>
      <c r="H109" s="6"/>
      <c r="I109" s="6"/>
      <c r="K109" s="6"/>
      <c r="L109" s="6"/>
      <c r="N109" s="6"/>
      <c r="O109" s="6"/>
      <c r="P109" s="6"/>
      <c r="R109" s="6"/>
      <c r="V109" s="7"/>
      <c r="Z109" s="6"/>
      <c r="AA109" s="6"/>
      <c r="AB109" s="5"/>
    </row>
    <row r="110" spans="1:28" ht="12.75" customHeight="1" x14ac:dyDescent="0.2">
      <c r="A110" s="6"/>
      <c r="D110" s="6"/>
      <c r="F110" s="6"/>
      <c r="G110" s="6"/>
      <c r="H110" s="6"/>
      <c r="I110" s="6"/>
      <c r="K110" s="6"/>
      <c r="L110" s="6"/>
      <c r="N110" s="6"/>
      <c r="O110" s="6"/>
      <c r="P110" s="6"/>
      <c r="R110" s="6"/>
      <c r="V110" s="7"/>
      <c r="Z110" s="6"/>
      <c r="AA110" s="6"/>
      <c r="AB110" s="5"/>
    </row>
    <row r="111" spans="1:28" ht="12.75" customHeight="1" x14ac:dyDescent="0.2">
      <c r="A111" s="6"/>
      <c r="D111" s="6"/>
      <c r="F111" s="6"/>
      <c r="G111" s="6"/>
      <c r="H111" s="6"/>
      <c r="I111" s="6"/>
      <c r="K111" s="6"/>
      <c r="L111" s="6"/>
      <c r="N111" s="6"/>
      <c r="O111" s="6"/>
      <c r="P111" s="6"/>
      <c r="R111" s="6"/>
      <c r="V111" s="7"/>
      <c r="Z111" s="6"/>
      <c r="AA111" s="6"/>
      <c r="AB111" s="5"/>
    </row>
    <row r="112" spans="1:28" ht="12.75" customHeight="1" x14ac:dyDescent="0.2">
      <c r="A112" s="6"/>
      <c r="D112" s="6"/>
      <c r="F112" s="6"/>
      <c r="G112" s="6"/>
      <c r="H112" s="6"/>
      <c r="I112" s="6"/>
      <c r="K112" s="6"/>
      <c r="L112" s="6"/>
      <c r="N112" s="6"/>
      <c r="O112" s="6"/>
      <c r="P112" s="6"/>
      <c r="R112" s="6"/>
      <c r="V112" s="7"/>
      <c r="Z112" s="6"/>
      <c r="AA112" s="6"/>
      <c r="AB112" s="5"/>
    </row>
    <row r="113" spans="1:28" ht="12.75" customHeight="1" x14ac:dyDescent="0.2">
      <c r="A113" s="6"/>
      <c r="D113" s="6"/>
      <c r="F113" s="6"/>
      <c r="G113" s="6"/>
      <c r="H113" s="6"/>
      <c r="I113" s="6"/>
      <c r="K113" s="6"/>
      <c r="L113" s="6"/>
      <c r="N113" s="6"/>
      <c r="O113" s="6"/>
      <c r="P113" s="6"/>
      <c r="R113" s="6"/>
      <c r="V113" s="7"/>
      <c r="Z113" s="6"/>
      <c r="AA113" s="6"/>
      <c r="AB113" s="5"/>
    </row>
    <row r="114" spans="1:28" ht="12.75" customHeight="1" x14ac:dyDescent="0.2">
      <c r="A114" s="6"/>
      <c r="D114" s="6"/>
      <c r="F114" s="6"/>
      <c r="G114" s="6"/>
      <c r="H114" s="6"/>
      <c r="I114" s="6"/>
      <c r="K114" s="6"/>
      <c r="L114" s="6"/>
      <c r="N114" s="6"/>
      <c r="O114" s="6"/>
      <c r="P114" s="6"/>
      <c r="R114" s="6"/>
      <c r="V114" s="7"/>
      <c r="Z114" s="6"/>
      <c r="AA114" s="6"/>
      <c r="AB114" s="5"/>
    </row>
    <row r="115" spans="1:28" ht="12.75" customHeight="1" x14ac:dyDescent="0.2">
      <c r="A115" s="6"/>
      <c r="D115" s="6"/>
      <c r="F115" s="6"/>
      <c r="G115" s="6"/>
      <c r="H115" s="6"/>
      <c r="I115" s="6"/>
      <c r="K115" s="6"/>
      <c r="L115" s="6"/>
      <c r="N115" s="6"/>
      <c r="O115" s="6"/>
      <c r="P115" s="6"/>
      <c r="R115" s="6"/>
      <c r="V115" s="7"/>
      <c r="Z115" s="6"/>
      <c r="AA115" s="6"/>
      <c r="AB115" s="5"/>
    </row>
    <row r="116" spans="1:28" ht="12.75" customHeight="1" x14ac:dyDescent="0.2">
      <c r="A116" s="6"/>
      <c r="D116" s="6"/>
      <c r="F116" s="6"/>
      <c r="G116" s="6"/>
      <c r="H116" s="6"/>
      <c r="I116" s="6"/>
      <c r="K116" s="6"/>
      <c r="L116" s="6"/>
      <c r="N116" s="6"/>
      <c r="O116" s="6"/>
      <c r="P116" s="6"/>
      <c r="R116" s="6"/>
      <c r="V116" s="7"/>
      <c r="Z116" s="6"/>
      <c r="AA116" s="6"/>
      <c r="AB116" s="5"/>
    </row>
    <row r="117" spans="1:28" ht="12.75" customHeight="1" x14ac:dyDescent="0.2">
      <c r="A117" s="6"/>
      <c r="D117" s="6"/>
      <c r="F117" s="6"/>
      <c r="G117" s="6"/>
      <c r="H117" s="6"/>
      <c r="I117" s="6"/>
      <c r="K117" s="6"/>
      <c r="L117" s="6"/>
      <c r="N117" s="6"/>
      <c r="O117" s="6"/>
      <c r="P117" s="6"/>
      <c r="R117" s="6"/>
      <c r="V117" s="7"/>
      <c r="Z117" s="6"/>
      <c r="AA117" s="6"/>
      <c r="AB117" s="5"/>
    </row>
    <row r="118" spans="1:28" ht="12.75" customHeight="1" x14ac:dyDescent="0.2">
      <c r="A118" s="6"/>
      <c r="D118" s="6"/>
      <c r="F118" s="6"/>
      <c r="G118" s="6"/>
      <c r="H118" s="6"/>
      <c r="I118" s="6"/>
      <c r="K118" s="6"/>
      <c r="L118" s="6"/>
      <c r="N118" s="6"/>
      <c r="O118" s="6"/>
      <c r="P118" s="6"/>
      <c r="R118" s="6"/>
      <c r="V118" s="7"/>
      <c r="Z118" s="6"/>
      <c r="AA118" s="6"/>
      <c r="AB118" s="5"/>
    </row>
    <row r="119" spans="1:28" ht="12.75" customHeight="1" x14ac:dyDescent="0.2">
      <c r="A119" s="6"/>
      <c r="D119" s="6"/>
      <c r="F119" s="6"/>
      <c r="G119" s="6"/>
      <c r="H119" s="6"/>
      <c r="I119" s="6"/>
      <c r="K119" s="6"/>
      <c r="L119" s="6"/>
      <c r="N119" s="6"/>
      <c r="O119" s="6"/>
      <c r="P119" s="6"/>
      <c r="R119" s="6"/>
      <c r="V119" s="7"/>
      <c r="Z119" s="6"/>
      <c r="AA119" s="6"/>
      <c r="AB119" s="5"/>
    </row>
    <row r="120" spans="1:28" ht="12.75" customHeight="1" x14ac:dyDescent="0.2">
      <c r="A120" s="6"/>
      <c r="D120" s="6"/>
      <c r="F120" s="6"/>
      <c r="G120" s="6"/>
      <c r="H120" s="6"/>
      <c r="I120" s="6"/>
      <c r="K120" s="6"/>
      <c r="L120" s="6"/>
      <c r="N120" s="6"/>
      <c r="O120" s="6"/>
      <c r="P120" s="6"/>
      <c r="R120" s="6"/>
      <c r="V120" s="7"/>
      <c r="Z120" s="6"/>
      <c r="AA120" s="6"/>
      <c r="AB120" s="5"/>
    </row>
    <row r="121" spans="1:28" ht="12.75" customHeight="1" x14ac:dyDescent="0.2">
      <c r="A121" s="6"/>
      <c r="D121" s="6"/>
      <c r="F121" s="6"/>
      <c r="G121" s="6"/>
      <c r="H121" s="6"/>
      <c r="I121" s="6"/>
      <c r="K121" s="6"/>
      <c r="L121" s="6"/>
      <c r="N121" s="6"/>
      <c r="O121" s="6"/>
      <c r="P121" s="6"/>
      <c r="R121" s="6"/>
      <c r="V121" s="7"/>
      <c r="Z121" s="6"/>
      <c r="AA121" s="6"/>
      <c r="AB121" s="5"/>
    </row>
    <row r="122" spans="1:28" ht="12.75" customHeight="1" x14ac:dyDescent="0.2">
      <c r="A122" s="6"/>
      <c r="D122" s="6"/>
      <c r="F122" s="6"/>
      <c r="G122" s="6"/>
      <c r="H122" s="6"/>
      <c r="I122" s="6"/>
      <c r="K122" s="6"/>
      <c r="L122" s="6"/>
      <c r="N122" s="6"/>
      <c r="O122" s="6"/>
      <c r="P122" s="6"/>
      <c r="R122" s="6"/>
      <c r="V122" s="7"/>
      <c r="Z122" s="6"/>
      <c r="AA122" s="6"/>
      <c r="AB122" s="5"/>
    </row>
    <row r="123" spans="1:28" ht="12.75" customHeight="1" x14ac:dyDescent="0.2">
      <c r="A123" s="6"/>
      <c r="D123" s="6"/>
      <c r="F123" s="6"/>
      <c r="G123" s="6"/>
      <c r="H123" s="6"/>
      <c r="I123" s="6"/>
      <c r="K123" s="6"/>
      <c r="L123" s="6"/>
      <c r="N123" s="6"/>
      <c r="O123" s="6"/>
      <c r="P123" s="6"/>
      <c r="R123" s="6"/>
      <c r="V123" s="7"/>
      <c r="Z123" s="6"/>
      <c r="AA123" s="6"/>
      <c r="AB123" s="5"/>
    </row>
    <row r="124" spans="1:28" ht="12.75" customHeight="1" x14ac:dyDescent="0.2">
      <c r="A124" s="6"/>
      <c r="D124" s="6"/>
      <c r="F124" s="6"/>
      <c r="G124" s="6"/>
      <c r="H124" s="6"/>
      <c r="I124" s="6"/>
      <c r="K124" s="6"/>
      <c r="L124" s="6"/>
      <c r="N124" s="6"/>
      <c r="O124" s="6"/>
      <c r="P124" s="6"/>
      <c r="R124" s="6"/>
      <c r="V124" s="7"/>
      <c r="Z124" s="6"/>
      <c r="AA124" s="6"/>
      <c r="AB124" s="5"/>
    </row>
    <row r="125" spans="1:28" ht="12.75" customHeight="1" x14ac:dyDescent="0.2">
      <c r="A125" s="6"/>
      <c r="D125" s="6"/>
      <c r="F125" s="6"/>
      <c r="G125" s="6"/>
      <c r="H125" s="6"/>
      <c r="I125" s="6"/>
      <c r="K125" s="6"/>
      <c r="L125" s="6"/>
      <c r="N125" s="6"/>
      <c r="O125" s="6"/>
      <c r="P125" s="6"/>
      <c r="R125" s="6"/>
      <c r="V125" s="7"/>
      <c r="Z125" s="6"/>
      <c r="AA125" s="6"/>
      <c r="AB125" s="5"/>
    </row>
    <row r="126" spans="1:28" ht="12.75" customHeight="1" x14ac:dyDescent="0.2">
      <c r="A126" s="6"/>
      <c r="D126" s="6"/>
      <c r="F126" s="6"/>
      <c r="G126" s="6"/>
      <c r="H126" s="6"/>
      <c r="I126" s="6"/>
      <c r="K126" s="6"/>
      <c r="L126" s="6"/>
      <c r="N126" s="6"/>
      <c r="O126" s="6"/>
      <c r="P126" s="6"/>
      <c r="R126" s="6"/>
      <c r="V126" s="7"/>
      <c r="Z126" s="6"/>
      <c r="AA126" s="6"/>
      <c r="AB126" s="5"/>
    </row>
    <row r="127" spans="1:28" ht="12.75" customHeight="1" x14ac:dyDescent="0.2">
      <c r="A127" s="6"/>
      <c r="D127" s="6"/>
      <c r="F127" s="6"/>
      <c r="G127" s="6"/>
      <c r="H127" s="6"/>
      <c r="I127" s="6"/>
      <c r="K127" s="6"/>
      <c r="L127" s="6"/>
      <c r="N127" s="6"/>
      <c r="O127" s="6"/>
      <c r="P127" s="6"/>
      <c r="R127" s="6"/>
      <c r="V127" s="7"/>
      <c r="Z127" s="6"/>
      <c r="AA127" s="6"/>
      <c r="AB127" s="5"/>
    </row>
    <row r="128" spans="1:28" ht="12.75" customHeight="1" x14ac:dyDescent="0.2">
      <c r="A128" s="6"/>
      <c r="D128" s="6"/>
      <c r="F128" s="6"/>
      <c r="G128" s="6"/>
      <c r="H128" s="6"/>
      <c r="I128" s="6"/>
      <c r="K128" s="6"/>
      <c r="L128" s="6"/>
      <c r="N128" s="6"/>
      <c r="O128" s="6"/>
      <c r="P128" s="6"/>
      <c r="R128" s="6"/>
      <c r="V128" s="7"/>
      <c r="Z128" s="6"/>
      <c r="AA128" s="6"/>
      <c r="AB128" s="5"/>
    </row>
    <row r="129" spans="1:28" ht="12.75" customHeight="1" x14ac:dyDescent="0.2">
      <c r="A129" s="6"/>
      <c r="D129" s="6"/>
      <c r="F129" s="6"/>
      <c r="G129" s="6"/>
      <c r="H129" s="6"/>
      <c r="I129" s="6"/>
      <c r="K129" s="6"/>
      <c r="L129" s="6"/>
      <c r="N129" s="6"/>
      <c r="O129" s="6"/>
      <c r="P129" s="6"/>
      <c r="R129" s="6"/>
      <c r="V129" s="7"/>
      <c r="Z129" s="6"/>
      <c r="AA129" s="6"/>
      <c r="AB129" s="5"/>
    </row>
    <row r="130" spans="1:28" ht="12.75" customHeight="1" x14ac:dyDescent="0.2">
      <c r="A130" s="6"/>
      <c r="D130" s="6"/>
      <c r="F130" s="6"/>
      <c r="G130" s="6"/>
      <c r="H130" s="6"/>
      <c r="I130" s="6"/>
      <c r="K130" s="6"/>
      <c r="L130" s="6"/>
      <c r="N130" s="6"/>
      <c r="O130" s="6"/>
      <c r="P130" s="6"/>
      <c r="R130" s="6"/>
      <c r="V130" s="7"/>
      <c r="Z130" s="6"/>
      <c r="AA130" s="6"/>
      <c r="AB130" s="5"/>
    </row>
    <row r="131" spans="1:28" ht="12.75" customHeight="1" x14ac:dyDescent="0.2">
      <c r="A131" s="6"/>
      <c r="D131" s="6"/>
      <c r="F131" s="6"/>
      <c r="G131" s="6"/>
      <c r="H131" s="6"/>
      <c r="I131" s="6"/>
      <c r="K131" s="6"/>
      <c r="L131" s="6"/>
      <c r="N131" s="6"/>
      <c r="O131" s="6"/>
      <c r="P131" s="6"/>
      <c r="R131" s="6"/>
      <c r="V131" s="7"/>
      <c r="Z131" s="6"/>
      <c r="AA131" s="6"/>
      <c r="AB131" s="5"/>
    </row>
    <row r="132" spans="1:28" ht="12.75" customHeight="1" x14ac:dyDescent="0.2">
      <c r="A132" s="6"/>
      <c r="D132" s="6"/>
      <c r="F132" s="6"/>
      <c r="G132" s="6"/>
      <c r="H132" s="6"/>
      <c r="I132" s="6"/>
      <c r="K132" s="6"/>
      <c r="L132" s="6"/>
      <c r="N132" s="6"/>
      <c r="O132" s="6"/>
      <c r="P132" s="6"/>
      <c r="R132" s="6"/>
      <c r="V132" s="7"/>
      <c r="Z132" s="6"/>
      <c r="AA132" s="6"/>
      <c r="AB132" s="5"/>
    </row>
    <row r="133" spans="1:28" ht="12.75" customHeight="1" x14ac:dyDescent="0.2">
      <c r="A133" s="6"/>
      <c r="D133" s="6"/>
      <c r="F133" s="6"/>
      <c r="G133" s="6"/>
      <c r="H133" s="6"/>
      <c r="I133" s="6"/>
      <c r="K133" s="6"/>
      <c r="L133" s="6"/>
      <c r="N133" s="6"/>
      <c r="O133" s="6"/>
      <c r="P133" s="6"/>
      <c r="R133" s="6"/>
      <c r="V133" s="7"/>
      <c r="Z133" s="6"/>
      <c r="AA133" s="6"/>
      <c r="AB133" s="5"/>
    </row>
    <row r="134" spans="1:28" ht="12.75" customHeight="1" x14ac:dyDescent="0.2">
      <c r="A134" s="6"/>
      <c r="D134" s="6"/>
      <c r="F134" s="6"/>
      <c r="G134" s="6"/>
      <c r="H134" s="6"/>
      <c r="I134" s="6"/>
      <c r="K134" s="6"/>
      <c r="L134" s="6"/>
      <c r="N134" s="6"/>
      <c r="O134" s="6"/>
      <c r="P134" s="6"/>
      <c r="R134" s="6"/>
      <c r="V134" s="7"/>
      <c r="Z134" s="6"/>
      <c r="AA134" s="6"/>
      <c r="AB134" s="5"/>
    </row>
    <row r="135" spans="1:28" ht="12.75" customHeight="1" x14ac:dyDescent="0.2">
      <c r="A135" s="6"/>
      <c r="D135" s="6"/>
      <c r="F135" s="6"/>
      <c r="G135" s="6"/>
      <c r="H135" s="6"/>
      <c r="I135" s="6"/>
      <c r="K135" s="6"/>
      <c r="L135" s="6"/>
      <c r="N135" s="6"/>
      <c r="O135" s="6"/>
      <c r="P135" s="6"/>
      <c r="R135" s="6"/>
      <c r="V135" s="7"/>
      <c r="Z135" s="6"/>
      <c r="AA135" s="6"/>
      <c r="AB135" s="5"/>
    </row>
    <row r="136" spans="1:28" ht="12.75" customHeight="1" x14ac:dyDescent="0.2">
      <c r="A136" s="6"/>
      <c r="D136" s="6"/>
      <c r="F136" s="6"/>
      <c r="G136" s="6"/>
      <c r="H136" s="6"/>
      <c r="I136" s="6"/>
      <c r="K136" s="6"/>
      <c r="L136" s="6"/>
      <c r="N136" s="6"/>
      <c r="O136" s="6"/>
      <c r="P136" s="6"/>
      <c r="R136" s="6"/>
      <c r="V136" s="7"/>
      <c r="Z136" s="6"/>
      <c r="AA136" s="6"/>
      <c r="AB136" s="5"/>
    </row>
    <row r="137" spans="1:28" ht="12.75" customHeight="1" x14ac:dyDescent="0.2">
      <c r="A137" s="6"/>
      <c r="D137" s="6"/>
      <c r="F137" s="6"/>
      <c r="G137" s="6"/>
      <c r="H137" s="6"/>
      <c r="I137" s="6"/>
      <c r="K137" s="6"/>
      <c r="L137" s="6"/>
      <c r="N137" s="6"/>
      <c r="O137" s="6"/>
      <c r="P137" s="6"/>
      <c r="R137" s="6"/>
      <c r="V137" s="7"/>
      <c r="Z137" s="6"/>
      <c r="AA137" s="6"/>
      <c r="AB137" s="5"/>
    </row>
    <row r="138" spans="1:28" ht="12.75" customHeight="1" x14ac:dyDescent="0.2">
      <c r="A138" s="6"/>
      <c r="D138" s="6"/>
      <c r="F138" s="6"/>
      <c r="G138" s="6"/>
      <c r="H138" s="6"/>
      <c r="I138" s="6"/>
      <c r="K138" s="6"/>
      <c r="L138" s="6"/>
      <c r="N138" s="6"/>
      <c r="O138" s="6"/>
      <c r="P138" s="6"/>
      <c r="R138" s="6"/>
      <c r="V138" s="7"/>
      <c r="Z138" s="6"/>
      <c r="AA138" s="6"/>
      <c r="AB138" s="5"/>
    </row>
    <row r="139" spans="1:28" ht="12.75" customHeight="1" x14ac:dyDescent="0.2">
      <c r="A139" s="6"/>
      <c r="D139" s="6"/>
      <c r="F139" s="6"/>
      <c r="G139" s="6"/>
      <c r="H139" s="6"/>
      <c r="I139" s="6"/>
      <c r="K139" s="6"/>
      <c r="L139" s="6"/>
      <c r="N139" s="6"/>
      <c r="O139" s="6"/>
      <c r="P139" s="6"/>
      <c r="R139" s="6"/>
      <c r="V139" s="7"/>
      <c r="Z139" s="6"/>
      <c r="AA139" s="6"/>
      <c r="AB139" s="5"/>
    </row>
    <row r="140" spans="1:28" ht="12.75" customHeight="1" x14ac:dyDescent="0.2">
      <c r="A140" s="6"/>
      <c r="D140" s="6"/>
      <c r="F140" s="6"/>
      <c r="G140" s="6"/>
      <c r="H140" s="6"/>
      <c r="I140" s="6"/>
      <c r="K140" s="6"/>
      <c r="L140" s="6"/>
      <c r="N140" s="6"/>
      <c r="O140" s="6"/>
      <c r="P140" s="6"/>
      <c r="R140" s="6"/>
      <c r="V140" s="7"/>
      <c r="Z140" s="6"/>
      <c r="AA140" s="6"/>
      <c r="AB140" s="5"/>
    </row>
    <row r="141" spans="1:28" ht="12.75" customHeight="1" x14ac:dyDescent="0.2">
      <c r="A141" s="6"/>
      <c r="D141" s="6"/>
      <c r="F141" s="6"/>
      <c r="G141" s="6"/>
      <c r="H141" s="6"/>
      <c r="I141" s="6"/>
      <c r="K141" s="6"/>
      <c r="L141" s="6"/>
      <c r="N141" s="6"/>
      <c r="O141" s="6"/>
      <c r="P141" s="6"/>
      <c r="R141" s="6"/>
      <c r="V141" s="7"/>
      <c r="Z141" s="6"/>
      <c r="AA141" s="6"/>
      <c r="AB141" s="5"/>
    </row>
    <row r="142" spans="1:28" ht="12.75" customHeight="1" x14ac:dyDescent="0.2">
      <c r="A142" s="6"/>
      <c r="D142" s="6"/>
      <c r="F142" s="6"/>
      <c r="G142" s="6"/>
      <c r="H142" s="6"/>
      <c r="I142" s="6"/>
      <c r="K142" s="6"/>
      <c r="L142" s="6"/>
      <c r="N142" s="6"/>
      <c r="O142" s="6"/>
      <c r="P142" s="6"/>
      <c r="R142" s="6"/>
      <c r="V142" s="7"/>
      <c r="Z142" s="6"/>
      <c r="AA142" s="6"/>
      <c r="AB142" s="5"/>
    </row>
    <row r="143" spans="1:28" ht="12.75" customHeight="1" x14ac:dyDescent="0.2">
      <c r="A143" s="6"/>
      <c r="D143" s="6"/>
      <c r="F143" s="6"/>
      <c r="G143" s="6"/>
      <c r="H143" s="6"/>
      <c r="I143" s="6"/>
      <c r="K143" s="6"/>
      <c r="L143" s="6"/>
      <c r="N143" s="6"/>
      <c r="O143" s="6"/>
      <c r="P143" s="6"/>
      <c r="R143" s="6"/>
      <c r="V143" s="7"/>
      <c r="Z143" s="6"/>
      <c r="AA143" s="6"/>
      <c r="AB143" s="5"/>
    </row>
    <row r="144" spans="1:28" ht="12.75" customHeight="1" x14ac:dyDescent="0.2">
      <c r="A144" s="6"/>
      <c r="D144" s="6"/>
      <c r="F144" s="6"/>
      <c r="G144" s="6"/>
      <c r="H144" s="6"/>
      <c r="I144" s="6"/>
      <c r="K144" s="6"/>
      <c r="L144" s="6"/>
      <c r="N144" s="6"/>
      <c r="O144" s="6"/>
      <c r="P144" s="6"/>
      <c r="R144" s="6"/>
      <c r="V144" s="7"/>
      <c r="Z144" s="6"/>
      <c r="AA144" s="6"/>
      <c r="AB144" s="5"/>
    </row>
    <row r="145" spans="1:28" ht="12.75" customHeight="1" x14ac:dyDescent="0.2">
      <c r="A145" s="6"/>
      <c r="D145" s="6"/>
      <c r="F145" s="6"/>
      <c r="G145" s="6"/>
      <c r="H145" s="6"/>
      <c r="I145" s="6"/>
      <c r="K145" s="6"/>
      <c r="L145" s="6"/>
      <c r="N145" s="6"/>
      <c r="O145" s="6"/>
      <c r="P145" s="6"/>
      <c r="R145" s="6"/>
      <c r="V145" s="7"/>
      <c r="Z145" s="6"/>
      <c r="AA145" s="6"/>
      <c r="AB145" s="5"/>
    </row>
    <row r="146" spans="1:28" ht="12.75" customHeight="1" x14ac:dyDescent="0.2">
      <c r="A146" s="6"/>
      <c r="D146" s="6"/>
      <c r="F146" s="6"/>
      <c r="G146" s="6"/>
      <c r="H146" s="6"/>
      <c r="I146" s="6"/>
      <c r="K146" s="6"/>
      <c r="L146" s="6"/>
      <c r="N146" s="6"/>
      <c r="O146" s="6"/>
      <c r="P146" s="6"/>
      <c r="R146" s="6"/>
      <c r="V146" s="7"/>
      <c r="Z146" s="6"/>
      <c r="AA146" s="6"/>
      <c r="AB146" s="5"/>
    </row>
    <row r="147" spans="1:28" ht="12.75" customHeight="1" x14ac:dyDescent="0.2">
      <c r="A147" s="6"/>
      <c r="D147" s="6"/>
      <c r="F147" s="6"/>
      <c r="G147" s="6"/>
      <c r="H147" s="6"/>
      <c r="I147" s="6"/>
      <c r="K147" s="6"/>
      <c r="L147" s="6"/>
      <c r="N147" s="6"/>
      <c r="O147" s="6"/>
      <c r="P147" s="6"/>
      <c r="R147" s="6"/>
      <c r="V147" s="7"/>
      <c r="Z147" s="6"/>
      <c r="AA147" s="6"/>
      <c r="AB147" s="5"/>
    </row>
    <row r="148" spans="1:28" ht="12.75" customHeight="1" x14ac:dyDescent="0.2">
      <c r="A148" s="6"/>
      <c r="D148" s="6"/>
      <c r="F148" s="6"/>
      <c r="G148" s="6"/>
      <c r="H148" s="6"/>
      <c r="I148" s="6"/>
      <c r="K148" s="6"/>
      <c r="L148" s="6"/>
      <c r="N148" s="6"/>
      <c r="O148" s="6"/>
      <c r="P148" s="6"/>
      <c r="R148" s="6"/>
      <c r="V148" s="7"/>
      <c r="Z148" s="6"/>
      <c r="AA148" s="6"/>
      <c r="AB148" s="5"/>
    </row>
    <row r="149" spans="1:28" ht="12.75" customHeight="1" x14ac:dyDescent="0.2">
      <c r="A149" s="6"/>
      <c r="D149" s="6"/>
      <c r="F149" s="6"/>
      <c r="G149" s="6"/>
      <c r="H149" s="6"/>
      <c r="I149" s="6"/>
      <c r="K149" s="6"/>
      <c r="L149" s="6"/>
      <c r="N149" s="6"/>
      <c r="O149" s="6"/>
      <c r="P149" s="6"/>
      <c r="R149" s="6"/>
      <c r="V149" s="7"/>
      <c r="Z149" s="6"/>
      <c r="AA149" s="6"/>
      <c r="AB149" s="5"/>
    </row>
    <row r="150" spans="1:28" ht="12.75" customHeight="1" x14ac:dyDescent="0.2">
      <c r="A150" s="6"/>
      <c r="D150" s="6"/>
      <c r="F150" s="6"/>
      <c r="G150" s="6"/>
      <c r="H150" s="6"/>
      <c r="I150" s="6"/>
      <c r="K150" s="6"/>
      <c r="L150" s="6"/>
      <c r="N150" s="6"/>
      <c r="O150" s="6"/>
      <c r="P150" s="6"/>
      <c r="R150" s="6"/>
      <c r="V150" s="7"/>
      <c r="Z150" s="6"/>
      <c r="AA150" s="6"/>
      <c r="AB150" s="5"/>
    </row>
    <row r="151" spans="1:28" ht="12.75" customHeight="1" x14ac:dyDescent="0.2">
      <c r="A151" s="6"/>
      <c r="D151" s="6"/>
      <c r="F151" s="6"/>
      <c r="G151" s="6"/>
      <c r="H151" s="6"/>
      <c r="I151" s="6"/>
      <c r="K151" s="6"/>
      <c r="L151" s="6"/>
      <c r="N151" s="6"/>
      <c r="O151" s="6"/>
      <c r="P151" s="6"/>
      <c r="R151" s="6"/>
      <c r="V151" s="7"/>
      <c r="Z151" s="6"/>
      <c r="AA151" s="6"/>
      <c r="AB151" s="5"/>
    </row>
    <row r="152" spans="1:28" ht="12.75" customHeight="1" x14ac:dyDescent="0.2">
      <c r="A152" s="6"/>
      <c r="D152" s="6"/>
      <c r="F152" s="6"/>
      <c r="G152" s="6"/>
      <c r="H152" s="6"/>
      <c r="I152" s="6"/>
      <c r="K152" s="6"/>
      <c r="L152" s="6"/>
      <c r="N152" s="6"/>
      <c r="O152" s="6"/>
      <c r="P152" s="6"/>
      <c r="R152" s="6"/>
      <c r="V152" s="7"/>
      <c r="Z152" s="6"/>
      <c r="AA152" s="6"/>
      <c r="AB152" s="5"/>
    </row>
    <row r="153" spans="1:28" ht="12.75" customHeight="1" x14ac:dyDescent="0.2">
      <c r="A153" s="6"/>
      <c r="D153" s="6"/>
      <c r="F153" s="6"/>
      <c r="G153" s="6"/>
      <c r="H153" s="6"/>
      <c r="I153" s="6"/>
      <c r="K153" s="6"/>
      <c r="L153" s="6"/>
      <c r="N153" s="6"/>
      <c r="O153" s="6"/>
      <c r="P153" s="6"/>
      <c r="R153" s="6"/>
      <c r="V153" s="7"/>
      <c r="Z153" s="6"/>
      <c r="AA153" s="6"/>
      <c r="AB153" s="5"/>
    </row>
    <row r="154" spans="1:28" ht="12.75" customHeight="1" x14ac:dyDescent="0.2">
      <c r="A154" s="6"/>
      <c r="D154" s="6"/>
      <c r="F154" s="6"/>
      <c r="G154" s="6"/>
      <c r="H154" s="6"/>
      <c r="I154" s="6"/>
      <c r="K154" s="6"/>
      <c r="L154" s="6"/>
      <c r="N154" s="6"/>
      <c r="O154" s="6"/>
      <c r="P154" s="6"/>
      <c r="R154" s="6"/>
      <c r="V154" s="7"/>
      <c r="Z154" s="6"/>
      <c r="AA154" s="6"/>
      <c r="AB154" s="5"/>
    </row>
    <row r="155" spans="1:28" ht="12.75" customHeight="1" x14ac:dyDescent="0.2">
      <c r="A155" s="6"/>
      <c r="D155" s="6"/>
      <c r="F155" s="6"/>
      <c r="G155" s="6"/>
      <c r="H155" s="6"/>
      <c r="I155" s="6"/>
      <c r="K155" s="6"/>
      <c r="L155" s="6"/>
      <c r="N155" s="6"/>
      <c r="O155" s="6"/>
      <c r="P155" s="6"/>
      <c r="R155" s="6"/>
      <c r="V155" s="7"/>
      <c r="Z155" s="6"/>
      <c r="AA155" s="6"/>
      <c r="AB155" s="5"/>
    </row>
    <row r="156" spans="1:28" ht="12.75" customHeight="1" x14ac:dyDescent="0.2">
      <c r="A156" s="6"/>
      <c r="D156" s="6"/>
      <c r="F156" s="6"/>
      <c r="G156" s="6"/>
      <c r="H156" s="6"/>
      <c r="I156" s="6"/>
      <c r="K156" s="6"/>
      <c r="L156" s="6"/>
      <c r="N156" s="6"/>
      <c r="O156" s="6"/>
      <c r="P156" s="6"/>
      <c r="R156" s="6"/>
      <c r="V156" s="7"/>
      <c r="Z156" s="6"/>
      <c r="AA156" s="6"/>
      <c r="AB156" s="5"/>
    </row>
    <row r="157" spans="1:28" ht="12.75" customHeight="1" x14ac:dyDescent="0.2">
      <c r="A157" s="6"/>
      <c r="D157" s="6"/>
      <c r="F157" s="6"/>
      <c r="G157" s="6"/>
      <c r="H157" s="6"/>
      <c r="I157" s="6"/>
      <c r="K157" s="6"/>
      <c r="L157" s="6"/>
      <c r="N157" s="6"/>
      <c r="O157" s="6"/>
      <c r="P157" s="6"/>
      <c r="R157" s="6"/>
      <c r="V157" s="7"/>
      <c r="Z157" s="6"/>
      <c r="AA157" s="6"/>
      <c r="AB157" s="5"/>
    </row>
    <row r="158" spans="1:28" ht="12.75" customHeight="1" x14ac:dyDescent="0.2">
      <c r="A158" s="6"/>
      <c r="D158" s="6"/>
      <c r="F158" s="6"/>
      <c r="G158" s="6"/>
      <c r="H158" s="6"/>
      <c r="I158" s="6"/>
      <c r="K158" s="6"/>
      <c r="L158" s="6"/>
      <c r="N158" s="6"/>
      <c r="O158" s="6"/>
      <c r="P158" s="6"/>
      <c r="R158" s="6"/>
      <c r="V158" s="7"/>
      <c r="Z158" s="6"/>
      <c r="AA158" s="6"/>
      <c r="AB158" s="5"/>
    </row>
    <row r="159" spans="1:28" ht="12.75" customHeight="1" x14ac:dyDescent="0.2">
      <c r="A159" s="6"/>
      <c r="D159" s="6"/>
      <c r="F159" s="6"/>
      <c r="G159" s="6"/>
      <c r="H159" s="6"/>
      <c r="I159" s="6"/>
      <c r="K159" s="6"/>
      <c r="L159" s="6"/>
      <c r="N159" s="6"/>
      <c r="O159" s="6"/>
      <c r="P159" s="6"/>
      <c r="R159" s="6"/>
      <c r="V159" s="7"/>
      <c r="Z159" s="6"/>
      <c r="AA159" s="6"/>
      <c r="AB159" s="5"/>
    </row>
    <row r="160" spans="1:28" ht="12.75" customHeight="1" x14ac:dyDescent="0.2">
      <c r="A160" s="6"/>
      <c r="D160" s="6"/>
      <c r="F160" s="6"/>
      <c r="G160" s="6"/>
      <c r="H160" s="6"/>
      <c r="I160" s="6"/>
      <c r="K160" s="6"/>
      <c r="L160" s="6"/>
      <c r="N160" s="6"/>
      <c r="O160" s="6"/>
      <c r="P160" s="6"/>
      <c r="R160" s="6"/>
      <c r="V160" s="7"/>
      <c r="Z160" s="6"/>
      <c r="AA160" s="6"/>
      <c r="AB160" s="5"/>
    </row>
    <row r="161" spans="1:28" ht="12.75" customHeight="1" x14ac:dyDescent="0.2">
      <c r="A161" s="6"/>
      <c r="D161" s="6"/>
      <c r="F161" s="6"/>
      <c r="G161" s="6"/>
      <c r="H161" s="6"/>
      <c r="I161" s="6"/>
      <c r="K161" s="6"/>
      <c r="L161" s="6"/>
      <c r="N161" s="6"/>
      <c r="O161" s="6"/>
      <c r="P161" s="6"/>
      <c r="R161" s="6"/>
      <c r="V161" s="7"/>
      <c r="Z161" s="6"/>
      <c r="AA161" s="6"/>
      <c r="AB161" s="5"/>
    </row>
    <row r="162" spans="1:28" ht="12.75" customHeight="1" x14ac:dyDescent="0.2">
      <c r="A162" s="6"/>
      <c r="D162" s="6"/>
      <c r="F162" s="6"/>
      <c r="G162" s="6"/>
      <c r="H162" s="6"/>
      <c r="I162" s="6"/>
      <c r="K162" s="6"/>
      <c r="L162" s="6"/>
      <c r="N162" s="6"/>
      <c r="O162" s="6"/>
      <c r="P162" s="6"/>
      <c r="R162" s="6"/>
      <c r="V162" s="7"/>
      <c r="Z162" s="6"/>
      <c r="AA162" s="6"/>
      <c r="AB162" s="5"/>
    </row>
    <row r="163" spans="1:28" ht="12.75" customHeight="1" x14ac:dyDescent="0.2">
      <c r="A163" s="6"/>
      <c r="D163" s="6"/>
      <c r="F163" s="6"/>
      <c r="G163" s="6"/>
      <c r="H163" s="6"/>
      <c r="I163" s="6"/>
      <c r="K163" s="6"/>
      <c r="L163" s="6"/>
      <c r="N163" s="6"/>
      <c r="O163" s="6"/>
      <c r="P163" s="6"/>
      <c r="R163" s="6"/>
      <c r="V163" s="7"/>
      <c r="Z163" s="6"/>
      <c r="AA163" s="6"/>
      <c r="AB163" s="5"/>
    </row>
    <row r="164" spans="1:28" ht="12.75" customHeight="1" x14ac:dyDescent="0.2">
      <c r="A164" s="6"/>
      <c r="D164" s="6"/>
      <c r="F164" s="6"/>
      <c r="G164" s="6"/>
      <c r="H164" s="6"/>
      <c r="I164" s="6"/>
      <c r="K164" s="6"/>
      <c r="L164" s="6"/>
      <c r="N164" s="6"/>
      <c r="O164" s="6"/>
      <c r="P164" s="6"/>
      <c r="R164" s="6"/>
      <c r="V164" s="7"/>
      <c r="Z164" s="6"/>
      <c r="AA164" s="6"/>
      <c r="AB164" s="5"/>
    </row>
    <row r="165" spans="1:28" ht="12.75" customHeight="1" x14ac:dyDescent="0.2">
      <c r="A165" s="6"/>
      <c r="D165" s="6"/>
      <c r="F165" s="6"/>
      <c r="G165" s="6"/>
      <c r="H165" s="6"/>
      <c r="I165" s="6"/>
      <c r="K165" s="6"/>
      <c r="L165" s="6"/>
      <c r="N165" s="6"/>
      <c r="O165" s="6"/>
      <c r="P165" s="6"/>
      <c r="R165" s="6"/>
      <c r="V165" s="7"/>
      <c r="Z165" s="6"/>
      <c r="AA165" s="6"/>
      <c r="AB165" s="5"/>
    </row>
    <row r="166" spans="1:28" ht="12.75" customHeight="1" x14ac:dyDescent="0.2">
      <c r="A166" s="6"/>
      <c r="D166" s="6"/>
      <c r="F166" s="6"/>
      <c r="G166" s="6"/>
      <c r="H166" s="6"/>
      <c r="I166" s="6"/>
      <c r="K166" s="6"/>
      <c r="L166" s="6"/>
      <c r="N166" s="6"/>
      <c r="O166" s="6"/>
      <c r="P166" s="6"/>
      <c r="R166" s="6"/>
      <c r="V166" s="7"/>
      <c r="Z166" s="6"/>
      <c r="AA166" s="6"/>
      <c r="AB166" s="5"/>
    </row>
    <row r="167" spans="1:28" ht="12.75" customHeight="1" x14ac:dyDescent="0.2">
      <c r="A167" s="6"/>
      <c r="D167" s="6"/>
      <c r="F167" s="6"/>
      <c r="G167" s="6"/>
      <c r="H167" s="6"/>
      <c r="I167" s="6"/>
      <c r="K167" s="6"/>
      <c r="L167" s="6"/>
      <c r="N167" s="6"/>
      <c r="O167" s="6"/>
      <c r="P167" s="6"/>
      <c r="R167" s="6"/>
      <c r="V167" s="7"/>
      <c r="Z167" s="6"/>
      <c r="AA167" s="6"/>
      <c r="AB167" s="5"/>
    </row>
    <row r="168" spans="1:28" ht="12.75" customHeight="1" x14ac:dyDescent="0.2">
      <c r="A168" s="6"/>
      <c r="D168" s="6"/>
      <c r="F168" s="6"/>
      <c r="G168" s="6"/>
      <c r="H168" s="6"/>
      <c r="I168" s="6"/>
      <c r="K168" s="6"/>
      <c r="L168" s="6"/>
      <c r="N168" s="6"/>
      <c r="O168" s="6"/>
      <c r="P168" s="6"/>
      <c r="R168" s="6"/>
      <c r="V168" s="7"/>
      <c r="Z168" s="6"/>
      <c r="AA168" s="6"/>
      <c r="AB168" s="5"/>
    </row>
    <row r="169" spans="1:28" ht="12.75" customHeight="1" x14ac:dyDescent="0.2">
      <c r="A169" s="6"/>
      <c r="D169" s="6"/>
      <c r="F169" s="6"/>
      <c r="G169" s="6"/>
      <c r="H169" s="6"/>
      <c r="I169" s="6"/>
      <c r="K169" s="6"/>
      <c r="L169" s="6"/>
      <c r="N169" s="6"/>
      <c r="O169" s="6"/>
      <c r="P169" s="6"/>
      <c r="R169" s="6"/>
      <c r="V169" s="7"/>
      <c r="Z169" s="6"/>
      <c r="AA169" s="6"/>
      <c r="AB169" s="5"/>
    </row>
    <row r="170" spans="1:28" ht="12.75" customHeight="1" x14ac:dyDescent="0.2">
      <c r="A170" s="6"/>
      <c r="D170" s="6"/>
      <c r="F170" s="6"/>
      <c r="G170" s="6"/>
      <c r="H170" s="6"/>
      <c r="I170" s="6"/>
      <c r="K170" s="6"/>
      <c r="L170" s="6"/>
      <c r="N170" s="6"/>
      <c r="O170" s="6"/>
      <c r="P170" s="6"/>
      <c r="R170" s="6"/>
      <c r="V170" s="7"/>
      <c r="Z170" s="6"/>
      <c r="AA170" s="6"/>
      <c r="AB170" s="5"/>
    </row>
    <row r="171" spans="1:28" ht="12.75" customHeight="1" x14ac:dyDescent="0.2">
      <c r="A171" s="6"/>
      <c r="D171" s="6"/>
      <c r="F171" s="6"/>
      <c r="G171" s="6"/>
      <c r="H171" s="6"/>
      <c r="I171" s="6"/>
      <c r="K171" s="6"/>
      <c r="L171" s="6"/>
      <c r="N171" s="6"/>
      <c r="O171" s="6"/>
      <c r="P171" s="6"/>
      <c r="R171" s="6"/>
      <c r="V171" s="7"/>
      <c r="Z171" s="6"/>
      <c r="AA171" s="6"/>
      <c r="AB171" s="5"/>
    </row>
    <row r="172" spans="1:28" ht="12.75" customHeight="1" x14ac:dyDescent="0.2">
      <c r="A172" s="6"/>
      <c r="D172" s="6"/>
      <c r="F172" s="6"/>
      <c r="G172" s="6"/>
      <c r="H172" s="6"/>
      <c r="I172" s="6"/>
      <c r="K172" s="6"/>
      <c r="L172" s="6"/>
      <c r="N172" s="6"/>
      <c r="O172" s="6"/>
      <c r="P172" s="6"/>
      <c r="R172" s="6"/>
      <c r="V172" s="7"/>
      <c r="Z172" s="6"/>
      <c r="AA172" s="6"/>
      <c r="AB172" s="5"/>
    </row>
    <row r="173" spans="1:28" ht="12.75" customHeight="1" x14ac:dyDescent="0.2">
      <c r="A173" s="6"/>
      <c r="D173" s="6"/>
      <c r="F173" s="6"/>
      <c r="G173" s="6"/>
      <c r="H173" s="6"/>
      <c r="I173" s="6"/>
      <c r="K173" s="6"/>
      <c r="L173" s="6"/>
      <c r="N173" s="6"/>
      <c r="O173" s="6"/>
      <c r="P173" s="6"/>
      <c r="R173" s="6"/>
      <c r="V173" s="7"/>
      <c r="Z173" s="6"/>
      <c r="AA173" s="6"/>
      <c r="AB173" s="5"/>
    </row>
    <row r="174" spans="1:28" ht="12.75" customHeight="1" x14ac:dyDescent="0.2">
      <c r="A174" s="6"/>
      <c r="D174" s="6"/>
      <c r="F174" s="6"/>
      <c r="G174" s="6"/>
      <c r="H174" s="6"/>
      <c r="I174" s="6"/>
      <c r="K174" s="6"/>
      <c r="L174" s="6"/>
      <c r="N174" s="6"/>
      <c r="O174" s="6"/>
      <c r="P174" s="6"/>
      <c r="R174" s="6"/>
      <c r="V174" s="7"/>
      <c r="Z174" s="6"/>
      <c r="AA174" s="6"/>
      <c r="AB174" s="5"/>
    </row>
    <row r="175" spans="1:28" ht="12.75" customHeight="1" x14ac:dyDescent="0.2">
      <c r="A175" s="6"/>
      <c r="D175" s="6"/>
      <c r="F175" s="6"/>
      <c r="G175" s="6"/>
      <c r="H175" s="6"/>
      <c r="I175" s="6"/>
      <c r="K175" s="6"/>
      <c r="L175" s="6"/>
      <c r="N175" s="6"/>
      <c r="O175" s="6"/>
      <c r="P175" s="6"/>
      <c r="R175" s="6"/>
      <c r="V175" s="7"/>
      <c r="Z175" s="6"/>
      <c r="AA175" s="6"/>
      <c r="AB175" s="5"/>
    </row>
    <row r="176" spans="1:28" ht="12.75" customHeight="1" x14ac:dyDescent="0.2">
      <c r="A176" s="6"/>
      <c r="D176" s="6"/>
      <c r="F176" s="6"/>
      <c r="G176" s="6"/>
      <c r="H176" s="6"/>
      <c r="I176" s="6"/>
      <c r="K176" s="6"/>
      <c r="L176" s="6"/>
      <c r="N176" s="6"/>
      <c r="O176" s="6"/>
      <c r="P176" s="6"/>
      <c r="R176" s="6"/>
      <c r="V176" s="7"/>
      <c r="Z176" s="6"/>
      <c r="AA176" s="6"/>
      <c r="AB176" s="5"/>
    </row>
    <row r="177" spans="1:28" ht="12.75" customHeight="1" x14ac:dyDescent="0.2">
      <c r="A177" s="6"/>
      <c r="D177" s="6"/>
      <c r="F177" s="6"/>
      <c r="G177" s="6"/>
      <c r="H177" s="6"/>
      <c r="I177" s="6"/>
      <c r="K177" s="6"/>
      <c r="L177" s="6"/>
      <c r="N177" s="6"/>
      <c r="O177" s="6"/>
      <c r="P177" s="6"/>
      <c r="R177" s="6"/>
      <c r="V177" s="7"/>
      <c r="Z177" s="6"/>
      <c r="AA177" s="6"/>
      <c r="AB177" s="5"/>
    </row>
    <row r="178" spans="1:28" ht="12.75" customHeight="1" x14ac:dyDescent="0.2">
      <c r="A178" s="6"/>
      <c r="D178" s="6"/>
      <c r="F178" s="6"/>
      <c r="G178" s="6"/>
      <c r="H178" s="6"/>
      <c r="I178" s="6"/>
      <c r="K178" s="6"/>
      <c r="L178" s="6"/>
      <c r="N178" s="6"/>
      <c r="O178" s="6"/>
      <c r="P178" s="6"/>
      <c r="R178" s="6"/>
      <c r="V178" s="7"/>
      <c r="Z178" s="6"/>
      <c r="AA178" s="6"/>
      <c r="AB178" s="5"/>
    </row>
    <row r="179" spans="1:28" ht="12.75" customHeight="1" x14ac:dyDescent="0.2">
      <c r="A179" s="6"/>
      <c r="D179" s="6"/>
      <c r="F179" s="6"/>
      <c r="G179" s="6"/>
      <c r="H179" s="6"/>
      <c r="I179" s="6"/>
      <c r="K179" s="6"/>
      <c r="L179" s="6"/>
      <c r="N179" s="6"/>
      <c r="O179" s="6"/>
      <c r="P179" s="6"/>
      <c r="R179" s="6"/>
      <c r="V179" s="7"/>
      <c r="Z179" s="6"/>
      <c r="AA179" s="6"/>
      <c r="AB179" s="5"/>
    </row>
    <row r="180" spans="1:28" ht="12.75" customHeight="1" x14ac:dyDescent="0.2">
      <c r="A180" s="6"/>
      <c r="D180" s="6"/>
      <c r="F180" s="6"/>
      <c r="G180" s="6"/>
      <c r="H180" s="6"/>
      <c r="I180" s="6"/>
      <c r="K180" s="6"/>
      <c r="L180" s="6"/>
      <c r="N180" s="6"/>
      <c r="O180" s="6"/>
      <c r="P180" s="6"/>
      <c r="R180" s="6"/>
      <c r="V180" s="7"/>
      <c r="Z180" s="6"/>
      <c r="AA180" s="6"/>
      <c r="AB180" s="5"/>
    </row>
    <row r="181" spans="1:28" ht="12.75" customHeight="1" x14ac:dyDescent="0.2">
      <c r="A181" s="6"/>
      <c r="D181" s="6"/>
      <c r="F181" s="6"/>
      <c r="G181" s="6"/>
      <c r="H181" s="6"/>
      <c r="I181" s="6"/>
      <c r="K181" s="6"/>
      <c r="L181" s="6"/>
      <c r="N181" s="6"/>
      <c r="O181" s="6"/>
      <c r="P181" s="6"/>
      <c r="R181" s="6"/>
      <c r="V181" s="7"/>
      <c r="Z181" s="6"/>
      <c r="AA181" s="6"/>
      <c r="AB181" s="5"/>
    </row>
    <row r="182" spans="1:28" ht="12.75" customHeight="1" x14ac:dyDescent="0.2">
      <c r="A182" s="6"/>
      <c r="D182" s="6"/>
      <c r="F182" s="6"/>
      <c r="G182" s="6"/>
      <c r="H182" s="6"/>
      <c r="I182" s="6"/>
      <c r="K182" s="6"/>
      <c r="L182" s="6"/>
      <c r="N182" s="6"/>
      <c r="O182" s="6"/>
      <c r="P182" s="6"/>
      <c r="R182" s="6"/>
      <c r="V182" s="7"/>
      <c r="Z182" s="6"/>
      <c r="AA182" s="6"/>
      <c r="AB182" s="5"/>
    </row>
    <row r="183" spans="1:28" ht="12.75" customHeight="1" x14ac:dyDescent="0.2">
      <c r="A183" s="6"/>
      <c r="D183" s="6"/>
      <c r="F183" s="6"/>
      <c r="G183" s="6"/>
      <c r="H183" s="6"/>
      <c r="I183" s="6"/>
      <c r="K183" s="6"/>
      <c r="L183" s="6"/>
      <c r="N183" s="6"/>
      <c r="O183" s="6"/>
      <c r="P183" s="6"/>
      <c r="R183" s="6"/>
      <c r="V183" s="7"/>
      <c r="Z183" s="6"/>
      <c r="AA183" s="6"/>
      <c r="AB183" s="5"/>
    </row>
    <row r="184" spans="1:28" ht="12.75" customHeight="1" x14ac:dyDescent="0.2">
      <c r="A184" s="6"/>
      <c r="D184" s="6"/>
      <c r="F184" s="6"/>
      <c r="G184" s="6"/>
      <c r="H184" s="6"/>
      <c r="I184" s="6"/>
      <c r="K184" s="6"/>
      <c r="L184" s="6"/>
      <c r="N184" s="6"/>
      <c r="O184" s="6"/>
      <c r="P184" s="6"/>
      <c r="R184" s="6"/>
      <c r="V184" s="7"/>
      <c r="Z184" s="6"/>
      <c r="AA184" s="6"/>
      <c r="AB184" s="5"/>
    </row>
    <row r="185" spans="1:28" ht="12.75" customHeight="1" x14ac:dyDescent="0.2">
      <c r="A185" s="6"/>
      <c r="D185" s="6"/>
      <c r="F185" s="6"/>
      <c r="G185" s="6"/>
      <c r="H185" s="6"/>
      <c r="I185" s="6"/>
      <c r="K185" s="6"/>
      <c r="L185" s="6"/>
      <c r="N185" s="6"/>
      <c r="O185" s="6"/>
      <c r="P185" s="6"/>
      <c r="R185" s="6"/>
      <c r="V185" s="7"/>
      <c r="Z185" s="6"/>
      <c r="AA185" s="6"/>
      <c r="AB185" s="5"/>
    </row>
    <row r="186" spans="1:28" ht="12.75" customHeight="1" x14ac:dyDescent="0.2">
      <c r="A186" s="6"/>
      <c r="D186" s="6"/>
      <c r="F186" s="6"/>
      <c r="G186" s="6"/>
      <c r="H186" s="6"/>
      <c r="I186" s="6"/>
      <c r="K186" s="6"/>
      <c r="L186" s="6"/>
      <c r="N186" s="6"/>
      <c r="O186" s="6"/>
      <c r="P186" s="6"/>
      <c r="R186" s="6"/>
      <c r="V186" s="7"/>
      <c r="Z186" s="6"/>
      <c r="AA186" s="6"/>
      <c r="AB186" s="5"/>
    </row>
    <row r="187" spans="1:28" ht="12.75" customHeight="1" x14ac:dyDescent="0.2">
      <c r="A187" s="6"/>
      <c r="D187" s="6"/>
      <c r="F187" s="6"/>
      <c r="G187" s="6"/>
      <c r="H187" s="6"/>
      <c r="I187" s="6"/>
      <c r="K187" s="6"/>
      <c r="L187" s="6"/>
      <c r="N187" s="6"/>
      <c r="O187" s="6"/>
      <c r="P187" s="6"/>
      <c r="R187" s="6"/>
      <c r="V187" s="7"/>
      <c r="Z187" s="6"/>
      <c r="AA187" s="6"/>
      <c r="AB187" s="5"/>
    </row>
    <row r="188" spans="1:28" ht="12.75" customHeight="1" x14ac:dyDescent="0.2">
      <c r="A188" s="6"/>
      <c r="D188" s="6"/>
      <c r="F188" s="6"/>
      <c r="G188" s="6"/>
      <c r="H188" s="6"/>
      <c r="I188" s="6"/>
      <c r="K188" s="6"/>
      <c r="L188" s="6"/>
      <c r="N188" s="6"/>
      <c r="O188" s="6"/>
      <c r="P188" s="6"/>
      <c r="R188" s="6"/>
      <c r="V188" s="7"/>
      <c r="Z188" s="6"/>
      <c r="AA188" s="6"/>
      <c r="AB188" s="5"/>
    </row>
    <row r="189" spans="1:28" ht="12.75" customHeight="1" x14ac:dyDescent="0.2">
      <c r="A189" s="6"/>
      <c r="D189" s="6"/>
      <c r="F189" s="6"/>
      <c r="G189" s="6"/>
      <c r="H189" s="6"/>
      <c r="I189" s="6"/>
      <c r="K189" s="6"/>
      <c r="L189" s="6"/>
      <c r="N189" s="6"/>
      <c r="O189" s="6"/>
      <c r="P189" s="6"/>
      <c r="R189" s="6"/>
      <c r="V189" s="7"/>
      <c r="Z189" s="6"/>
      <c r="AA189" s="6"/>
      <c r="AB189" s="5"/>
    </row>
    <row r="190" spans="1:28" ht="12.75" customHeight="1" x14ac:dyDescent="0.2">
      <c r="A190" s="6"/>
      <c r="D190" s="6"/>
      <c r="F190" s="6"/>
      <c r="G190" s="6"/>
      <c r="H190" s="6"/>
      <c r="I190" s="6"/>
      <c r="K190" s="6"/>
      <c r="L190" s="6"/>
      <c r="N190" s="6"/>
      <c r="O190" s="6"/>
      <c r="P190" s="6"/>
      <c r="R190" s="6"/>
      <c r="V190" s="7"/>
      <c r="Z190" s="6"/>
      <c r="AA190" s="6"/>
      <c r="AB190" s="5"/>
    </row>
    <row r="191" spans="1:28" ht="12.75" customHeight="1" x14ac:dyDescent="0.2">
      <c r="A191" s="6"/>
      <c r="D191" s="6"/>
      <c r="F191" s="6"/>
      <c r="G191" s="6"/>
      <c r="H191" s="6"/>
      <c r="I191" s="6"/>
      <c r="K191" s="6"/>
      <c r="L191" s="6"/>
      <c r="N191" s="6"/>
      <c r="O191" s="6"/>
      <c r="P191" s="6"/>
      <c r="R191" s="6"/>
      <c r="V191" s="7"/>
      <c r="Z191" s="6"/>
      <c r="AA191" s="6"/>
      <c r="AB191" s="5"/>
    </row>
    <row r="192" spans="1:28" ht="12.75" customHeight="1" x14ac:dyDescent="0.2">
      <c r="A192" s="6"/>
      <c r="D192" s="6"/>
      <c r="F192" s="6"/>
      <c r="G192" s="6"/>
      <c r="H192" s="6"/>
      <c r="I192" s="6"/>
      <c r="K192" s="6"/>
      <c r="L192" s="6"/>
      <c r="N192" s="6"/>
      <c r="O192" s="6"/>
      <c r="P192" s="6"/>
      <c r="R192" s="6"/>
      <c r="V192" s="7"/>
      <c r="Z192" s="6"/>
      <c r="AA192" s="6"/>
      <c r="AB192" s="5"/>
    </row>
    <row r="193" spans="1:28" ht="12.75" customHeight="1" x14ac:dyDescent="0.2">
      <c r="A193" s="6"/>
      <c r="D193" s="6"/>
      <c r="F193" s="6"/>
      <c r="G193" s="6"/>
      <c r="H193" s="6"/>
      <c r="I193" s="6"/>
      <c r="K193" s="6"/>
      <c r="L193" s="6"/>
      <c r="N193" s="6"/>
      <c r="O193" s="6"/>
      <c r="P193" s="6"/>
      <c r="R193" s="6"/>
      <c r="V193" s="7"/>
      <c r="Z193" s="6"/>
      <c r="AA193" s="6"/>
      <c r="AB193" s="5"/>
    </row>
    <row r="194" spans="1:28" ht="12.75" customHeight="1" x14ac:dyDescent="0.2">
      <c r="A194" s="6"/>
      <c r="D194" s="6"/>
      <c r="F194" s="6"/>
      <c r="G194" s="6"/>
      <c r="H194" s="6"/>
      <c r="I194" s="6"/>
      <c r="K194" s="6"/>
      <c r="L194" s="6"/>
      <c r="N194" s="6"/>
      <c r="O194" s="6"/>
      <c r="P194" s="6"/>
      <c r="R194" s="6"/>
      <c r="V194" s="7"/>
      <c r="Z194" s="6"/>
      <c r="AA194" s="6"/>
      <c r="AB194" s="5"/>
    </row>
    <row r="195" spans="1:28" ht="12.75" customHeight="1" x14ac:dyDescent="0.2">
      <c r="A195" s="6"/>
      <c r="D195" s="6"/>
      <c r="F195" s="6"/>
      <c r="G195" s="6"/>
      <c r="H195" s="6"/>
      <c r="I195" s="6"/>
      <c r="K195" s="6"/>
      <c r="L195" s="6"/>
      <c r="N195" s="6"/>
      <c r="O195" s="6"/>
      <c r="P195" s="6"/>
      <c r="R195" s="6"/>
      <c r="V195" s="7"/>
      <c r="Z195" s="6"/>
      <c r="AA195" s="6"/>
      <c r="AB195" s="5"/>
    </row>
    <row r="196" spans="1:28" ht="12.75" customHeight="1" x14ac:dyDescent="0.2">
      <c r="A196" s="6"/>
      <c r="D196" s="6"/>
      <c r="F196" s="6"/>
      <c r="G196" s="6"/>
      <c r="H196" s="6"/>
      <c r="I196" s="6"/>
      <c r="K196" s="6"/>
      <c r="L196" s="6"/>
      <c r="N196" s="6"/>
      <c r="O196" s="6"/>
      <c r="P196" s="6"/>
      <c r="R196" s="6"/>
      <c r="V196" s="7"/>
      <c r="Z196" s="6"/>
      <c r="AA196" s="6"/>
      <c r="AB196" s="5"/>
    </row>
    <row r="197" spans="1:28" ht="12.75" customHeight="1" x14ac:dyDescent="0.2">
      <c r="A197" s="6"/>
      <c r="D197" s="6"/>
      <c r="F197" s="6"/>
      <c r="G197" s="6"/>
      <c r="H197" s="6"/>
      <c r="I197" s="6"/>
      <c r="K197" s="6"/>
      <c r="L197" s="6"/>
      <c r="N197" s="6"/>
      <c r="O197" s="6"/>
      <c r="P197" s="6"/>
      <c r="R197" s="6"/>
      <c r="V197" s="7"/>
      <c r="Z197" s="6"/>
      <c r="AA197" s="6"/>
      <c r="AB197" s="5"/>
    </row>
    <row r="198" spans="1:28" ht="12.75" customHeight="1" x14ac:dyDescent="0.2">
      <c r="A198" s="6"/>
      <c r="D198" s="6"/>
      <c r="F198" s="6"/>
      <c r="G198" s="6"/>
      <c r="H198" s="6"/>
      <c r="I198" s="6"/>
      <c r="K198" s="6"/>
      <c r="L198" s="6"/>
      <c r="N198" s="6"/>
      <c r="O198" s="6"/>
      <c r="P198" s="6"/>
      <c r="R198" s="6"/>
      <c r="V198" s="7"/>
      <c r="Z198" s="6"/>
      <c r="AA198" s="6"/>
      <c r="AB198" s="5"/>
    </row>
    <row r="199" spans="1:28" ht="12.75" customHeight="1" x14ac:dyDescent="0.2">
      <c r="A199" s="6"/>
      <c r="D199" s="6"/>
      <c r="F199" s="6"/>
      <c r="G199" s="6"/>
      <c r="H199" s="6"/>
      <c r="I199" s="6"/>
      <c r="K199" s="6"/>
      <c r="L199" s="6"/>
      <c r="N199" s="6"/>
      <c r="O199" s="6"/>
      <c r="P199" s="6"/>
      <c r="R199" s="6"/>
      <c r="V199" s="7"/>
      <c r="Z199" s="6"/>
      <c r="AA199" s="6"/>
      <c r="AB199" s="5"/>
    </row>
    <row r="200" spans="1:28" ht="12.75" customHeight="1" x14ac:dyDescent="0.2">
      <c r="A200" s="6"/>
      <c r="D200" s="6"/>
      <c r="F200" s="6"/>
      <c r="G200" s="6"/>
      <c r="H200" s="6"/>
      <c r="I200" s="6"/>
      <c r="K200" s="6"/>
      <c r="L200" s="6"/>
      <c r="N200" s="6"/>
      <c r="O200" s="6"/>
      <c r="P200" s="6"/>
      <c r="R200" s="6"/>
      <c r="V200" s="7"/>
      <c r="Z200" s="6"/>
      <c r="AA200" s="6"/>
      <c r="AB200" s="5"/>
    </row>
    <row r="201" spans="1:28" ht="12.75" customHeight="1" x14ac:dyDescent="0.2">
      <c r="A201" s="6"/>
      <c r="D201" s="6"/>
      <c r="F201" s="6"/>
      <c r="G201" s="6"/>
      <c r="H201" s="6"/>
      <c r="I201" s="6"/>
      <c r="K201" s="6"/>
      <c r="L201" s="6"/>
      <c r="N201" s="6"/>
      <c r="O201" s="6"/>
      <c r="P201" s="6"/>
      <c r="R201" s="6"/>
      <c r="V201" s="7"/>
      <c r="Z201" s="6"/>
      <c r="AA201" s="6"/>
      <c r="AB201" s="5"/>
    </row>
    <row r="202" spans="1:28" ht="12.75" customHeight="1" x14ac:dyDescent="0.2">
      <c r="A202" s="6"/>
      <c r="D202" s="6"/>
      <c r="F202" s="6"/>
      <c r="G202" s="6"/>
      <c r="H202" s="6"/>
      <c r="I202" s="6"/>
      <c r="K202" s="6"/>
      <c r="L202" s="6"/>
      <c r="N202" s="6"/>
      <c r="O202" s="6"/>
      <c r="P202" s="6"/>
      <c r="R202" s="6"/>
      <c r="V202" s="7"/>
      <c r="Z202" s="6"/>
      <c r="AA202" s="6"/>
      <c r="AB202" s="5"/>
    </row>
    <row r="203" spans="1:28" ht="12.75" customHeight="1" x14ac:dyDescent="0.2">
      <c r="A203" s="6"/>
      <c r="D203" s="6"/>
      <c r="F203" s="6"/>
      <c r="G203" s="6"/>
      <c r="H203" s="6"/>
      <c r="I203" s="6"/>
      <c r="K203" s="6"/>
      <c r="L203" s="6"/>
      <c r="N203" s="6"/>
      <c r="O203" s="6"/>
      <c r="P203" s="6"/>
      <c r="R203" s="6"/>
      <c r="V203" s="7"/>
      <c r="Z203" s="6"/>
      <c r="AA203" s="6"/>
      <c r="AB203" s="5"/>
    </row>
    <row r="204" spans="1:28" ht="12.75" customHeight="1" x14ac:dyDescent="0.2">
      <c r="A204" s="6"/>
      <c r="D204" s="6"/>
      <c r="F204" s="6"/>
      <c r="G204" s="6"/>
      <c r="H204" s="6"/>
      <c r="I204" s="6"/>
      <c r="K204" s="6"/>
      <c r="L204" s="6"/>
      <c r="N204" s="6"/>
      <c r="O204" s="6"/>
      <c r="P204" s="6"/>
      <c r="R204" s="6"/>
      <c r="V204" s="7"/>
      <c r="Z204" s="6"/>
      <c r="AA204" s="6"/>
      <c r="AB204" s="5"/>
    </row>
    <row r="205" spans="1:28" ht="12.75" customHeight="1" x14ac:dyDescent="0.2">
      <c r="A205" s="6"/>
      <c r="D205" s="6"/>
      <c r="F205" s="6"/>
      <c r="G205" s="6"/>
      <c r="H205" s="6"/>
      <c r="I205" s="6"/>
      <c r="K205" s="6"/>
      <c r="L205" s="6"/>
      <c r="N205" s="6"/>
      <c r="O205" s="6"/>
      <c r="P205" s="6"/>
      <c r="R205" s="6"/>
      <c r="V205" s="7"/>
      <c r="Z205" s="6"/>
      <c r="AA205" s="6"/>
      <c r="AB205" s="5"/>
    </row>
    <row r="206" spans="1:28" ht="12.75" customHeight="1" x14ac:dyDescent="0.2">
      <c r="A206" s="6"/>
      <c r="D206" s="6"/>
      <c r="F206" s="6"/>
      <c r="G206" s="6"/>
      <c r="H206" s="6"/>
      <c r="I206" s="6"/>
      <c r="K206" s="6"/>
      <c r="L206" s="6"/>
      <c r="N206" s="6"/>
      <c r="O206" s="6"/>
      <c r="P206" s="6"/>
      <c r="R206" s="6"/>
      <c r="V206" s="7"/>
      <c r="Z206" s="6"/>
      <c r="AA206" s="6"/>
      <c r="AB206" s="5"/>
    </row>
    <row r="207" spans="1:28" ht="12.75" customHeight="1" x14ac:dyDescent="0.2">
      <c r="A207" s="6"/>
      <c r="D207" s="6"/>
      <c r="F207" s="6"/>
      <c r="G207" s="6"/>
      <c r="H207" s="6"/>
      <c r="I207" s="6"/>
      <c r="K207" s="6"/>
      <c r="L207" s="6"/>
      <c r="N207" s="6"/>
      <c r="O207" s="6"/>
      <c r="P207" s="6"/>
      <c r="R207" s="6"/>
      <c r="V207" s="7"/>
      <c r="Z207" s="6"/>
      <c r="AA207" s="6"/>
      <c r="AB207" s="5"/>
    </row>
    <row r="208" spans="1:28" ht="12.75" customHeight="1" x14ac:dyDescent="0.2">
      <c r="A208" s="6"/>
      <c r="D208" s="6"/>
      <c r="F208" s="6"/>
      <c r="G208" s="6"/>
      <c r="H208" s="6"/>
      <c r="I208" s="6"/>
      <c r="K208" s="6"/>
      <c r="L208" s="6"/>
      <c r="N208" s="6"/>
      <c r="O208" s="6"/>
      <c r="P208" s="6"/>
      <c r="R208" s="6"/>
      <c r="V208" s="7"/>
      <c r="Z208" s="6"/>
      <c r="AA208" s="6"/>
      <c r="AB208" s="5"/>
    </row>
    <row r="209" spans="1:28" ht="12.75" customHeight="1" x14ac:dyDescent="0.2">
      <c r="A209" s="6"/>
      <c r="D209" s="6"/>
      <c r="F209" s="6"/>
      <c r="G209" s="6"/>
      <c r="H209" s="6"/>
      <c r="I209" s="6"/>
      <c r="K209" s="6"/>
      <c r="L209" s="6"/>
      <c r="N209" s="6"/>
      <c r="O209" s="6"/>
      <c r="P209" s="6"/>
      <c r="R209" s="6"/>
      <c r="V209" s="7"/>
      <c r="Z209" s="6"/>
      <c r="AA209" s="6"/>
      <c r="AB209" s="5"/>
    </row>
    <row r="210" spans="1:28" ht="12.75" customHeight="1" x14ac:dyDescent="0.2">
      <c r="A210" s="6"/>
      <c r="D210" s="6"/>
      <c r="F210" s="6"/>
      <c r="G210" s="6"/>
      <c r="H210" s="6"/>
      <c r="I210" s="6"/>
      <c r="K210" s="6"/>
      <c r="L210" s="6"/>
      <c r="N210" s="6"/>
      <c r="O210" s="6"/>
      <c r="P210" s="6"/>
      <c r="R210" s="6"/>
      <c r="V210" s="7"/>
      <c r="Z210" s="6"/>
      <c r="AA210" s="6"/>
      <c r="AB210" s="5"/>
    </row>
    <row r="211" spans="1:28" ht="12.75" customHeight="1" x14ac:dyDescent="0.2">
      <c r="A211" s="6"/>
      <c r="D211" s="6"/>
      <c r="F211" s="6"/>
      <c r="G211" s="6"/>
      <c r="H211" s="6"/>
      <c r="I211" s="6"/>
      <c r="K211" s="6"/>
      <c r="L211" s="6"/>
      <c r="N211" s="6"/>
      <c r="O211" s="6"/>
      <c r="P211" s="6"/>
      <c r="R211" s="6"/>
      <c r="V211" s="7"/>
      <c r="Z211" s="6"/>
      <c r="AA211" s="6"/>
      <c r="AB211" s="5"/>
    </row>
    <row r="212" spans="1:28" ht="12.75" customHeight="1" x14ac:dyDescent="0.2">
      <c r="A212" s="6"/>
      <c r="D212" s="6"/>
      <c r="F212" s="6"/>
      <c r="G212" s="6"/>
      <c r="H212" s="6"/>
      <c r="I212" s="6"/>
      <c r="K212" s="6"/>
      <c r="L212" s="6"/>
      <c r="N212" s="6"/>
      <c r="O212" s="6"/>
      <c r="P212" s="6"/>
      <c r="R212" s="6"/>
      <c r="V212" s="7"/>
      <c r="Z212" s="6"/>
      <c r="AA212" s="6"/>
      <c r="AB212" s="5"/>
    </row>
    <row r="213" spans="1:28" ht="12.75" customHeight="1" x14ac:dyDescent="0.2">
      <c r="A213" s="6"/>
      <c r="D213" s="6"/>
      <c r="F213" s="6"/>
      <c r="G213" s="6"/>
      <c r="H213" s="6"/>
      <c r="I213" s="6"/>
      <c r="K213" s="6"/>
      <c r="L213" s="6"/>
      <c r="N213" s="6"/>
      <c r="O213" s="6"/>
      <c r="P213" s="6"/>
      <c r="R213" s="6"/>
      <c r="V213" s="7"/>
      <c r="Z213" s="6"/>
      <c r="AA213" s="6"/>
      <c r="AB213" s="5"/>
    </row>
    <row r="214" spans="1:28" ht="12.75" customHeight="1" x14ac:dyDescent="0.2">
      <c r="A214" s="6"/>
      <c r="D214" s="6"/>
      <c r="F214" s="6"/>
      <c r="G214" s="6"/>
      <c r="H214" s="6"/>
      <c r="I214" s="6"/>
      <c r="K214" s="6"/>
      <c r="L214" s="6"/>
      <c r="N214" s="6"/>
      <c r="O214" s="6"/>
      <c r="P214" s="6"/>
      <c r="R214" s="6"/>
      <c r="V214" s="7"/>
      <c r="Z214" s="6"/>
      <c r="AA214" s="6"/>
      <c r="AB214" s="5"/>
    </row>
    <row r="215" spans="1:28" ht="12.75" customHeight="1" x14ac:dyDescent="0.2">
      <c r="A215" s="6"/>
      <c r="D215" s="6"/>
      <c r="F215" s="6"/>
      <c r="G215" s="6"/>
      <c r="H215" s="6"/>
      <c r="I215" s="6"/>
      <c r="K215" s="6"/>
      <c r="L215" s="6"/>
      <c r="N215" s="6"/>
      <c r="O215" s="6"/>
      <c r="P215" s="6"/>
      <c r="R215" s="6"/>
      <c r="V215" s="7"/>
      <c r="Z215" s="6"/>
      <c r="AA215" s="6"/>
      <c r="AB215" s="5"/>
    </row>
    <row r="216" spans="1:28" ht="12.75" customHeight="1" x14ac:dyDescent="0.2">
      <c r="A216" s="6"/>
      <c r="D216" s="6"/>
      <c r="F216" s="6"/>
      <c r="G216" s="6"/>
      <c r="H216" s="6"/>
      <c r="I216" s="6"/>
      <c r="K216" s="6"/>
      <c r="L216" s="6"/>
      <c r="N216" s="6"/>
      <c r="O216" s="6"/>
      <c r="P216" s="6"/>
      <c r="R216" s="6"/>
      <c r="V216" s="7"/>
      <c r="Z216" s="6"/>
      <c r="AA216" s="6"/>
      <c r="AB216" s="5"/>
    </row>
    <row r="217" spans="1:28" ht="12.75" customHeight="1" x14ac:dyDescent="0.2">
      <c r="A217" s="6"/>
      <c r="D217" s="6"/>
      <c r="F217" s="6"/>
      <c r="G217" s="6"/>
      <c r="H217" s="6"/>
      <c r="I217" s="6"/>
      <c r="K217" s="6"/>
      <c r="L217" s="6"/>
      <c r="N217" s="6"/>
      <c r="O217" s="6"/>
      <c r="P217" s="6"/>
      <c r="R217" s="6"/>
      <c r="V217" s="7"/>
      <c r="Z217" s="6"/>
      <c r="AA217" s="6"/>
      <c r="AB217" s="5"/>
    </row>
    <row r="218" spans="1:28" ht="12.75" customHeight="1" x14ac:dyDescent="0.2">
      <c r="A218" s="6"/>
      <c r="D218" s="6"/>
      <c r="F218" s="6"/>
      <c r="G218" s="6"/>
      <c r="H218" s="6"/>
      <c r="I218" s="6"/>
      <c r="K218" s="6"/>
      <c r="L218" s="6"/>
      <c r="N218" s="6"/>
      <c r="O218" s="6"/>
      <c r="P218" s="6"/>
      <c r="R218" s="6"/>
      <c r="V218" s="7"/>
      <c r="Z218" s="6"/>
      <c r="AA218" s="6"/>
      <c r="AB218" s="5"/>
    </row>
    <row r="219" spans="1:28" ht="12.75" customHeight="1" x14ac:dyDescent="0.2">
      <c r="A219" s="6"/>
      <c r="D219" s="6"/>
      <c r="F219" s="6"/>
      <c r="G219" s="6"/>
      <c r="H219" s="6"/>
      <c r="I219" s="6"/>
      <c r="K219" s="6"/>
      <c r="L219" s="6"/>
      <c r="N219" s="6"/>
      <c r="O219" s="6"/>
      <c r="P219" s="6"/>
      <c r="R219" s="6"/>
      <c r="V219" s="7"/>
      <c r="Z219" s="6"/>
      <c r="AA219" s="6"/>
      <c r="AB219" s="5"/>
    </row>
    <row r="220" spans="1:28" ht="12.75" customHeight="1" x14ac:dyDescent="0.2">
      <c r="A220" s="6"/>
      <c r="D220" s="6"/>
      <c r="F220" s="6"/>
      <c r="G220" s="6"/>
      <c r="H220" s="6"/>
      <c r="I220" s="6"/>
      <c r="K220" s="6"/>
      <c r="L220" s="6"/>
      <c r="N220" s="6"/>
      <c r="O220" s="6"/>
      <c r="P220" s="6"/>
      <c r="R220" s="6"/>
      <c r="V220" s="7"/>
      <c r="Z220" s="6"/>
      <c r="AA220" s="6"/>
      <c r="AB220" s="5"/>
    </row>
    <row r="221" spans="1:28" ht="12.75" customHeight="1" x14ac:dyDescent="0.2">
      <c r="A221" s="6"/>
      <c r="D221" s="6"/>
      <c r="F221" s="6"/>
      <c r="G221" s="6"/>
      <c r="H221" s="6"/>
      <c r="I221" s="6"/>
      <c r="K221" s="6"/>
      <c r="L221" s="6"/>
      <c r="N221" s="6"/>
      <c r="O221" s="6"/>
      <c r="P221" s="6"/>
      <c r="R221" s="6"/>
      <c r="V221" s="7"/>
      <c r="Z221" s="6"/>
      <c r="AA221" s="6"/>
      <c r="AB221" s="5"/>
    </row>
    <row r="222" spans="1:28" ht="12.75" customHeight="1" x14ac:dyDescent="0.2">
      <c r="A222" s="6"/>
      <c r="D222" s="6"/>
      <c r="F222" s="6"/>
      <c r="G222" s="6"/>
      <c r="H222" s="6"/>
      <c r="I222" s="6"/>
      <c r="K222" s="6"/>
      <c r="L222" s="6"/>
      <c r="N222" s="6"/>
      <c r="O222" s="6"/>
      <c r="P222" s="6"/>
      <c r="R222" s="6"/>
      <c r="V222" s="7"/>
      <c r="Z222" s="6"/>
      <c r="AA222" s="6"/>
      <c r="AB222" s="5"/>
    </row>
    <row r="223" spans="1:28" ht="12.75" customHeight="1" x14ac:dyDescent="0.2">
      <c r="A223" s="6"/>
      <c r="D223" s="6"/>
      <c r="F223" s="6"/>
      <c r="G223" s="6"/>
      <c r="H223" s="6"/>
      <c r="I223" s="6"/>
      <c r="K223" s="6"/>
      <c r="L223" s="6"/>
      <c r="N223" s="6"/>
      <c r="O223" s="6"/>
      <c r="P223" s="6"/>
      <c r="R223" s="6"/>
      <c r="V223" s="7"/>
      <c r="Z223" s="6"/>
      <c r="AA223" s="6"/>
      <c r="AB223" s="5"/>
    </row>
    <row r="224" spans="1:28" ht="12.75" customHeight="1" x14ac:dyDescent="0.2">
      <c r="A224" s="6"/>
      <c r="D224" s="6"/>
      <c r="F224" s="6"/>
      <c r="G224" s="6"/>
      <c r="H224" s="6"/>
      <c r="I224" s="6"/>
      <c r="K224" s="6"/>
      <c r="L224" s="6"/>
      <c r="N224" s="6"/>
      <c r="O224" s="6"/>
      <c r="P224" s="6"/>
      <c r="R224" s="6"/>
      <c r="V224" s="7"/>
      <c r="Z224" s="6"/>
      <c r="AA224" s="6"/>
      <c r="AB224" s="5"/>
    </row>
    <row r="225" spans="1:28" ht="12.75" customHeight="1" x14ac:dyDescent="0.2">
      <c r="A225" s="6"/>
      <c r="D225" s="6"/>
      <c r="F225" s="6"/>
      <c r="G225" s="6"/>
      <c r="H225" s="6"/>
      <c r="I225" s="6"/>
      <c r="K225" s="6"/>
      <c r="L225" s="6"/>
      <c r="N225" s="6"/>
      <c r="O225" s="6"/>
      <c r="P225" s="6"/>
      <c r="R225" s="6"/>
      <c r="V225" s="7"/>
      <c r="Z225" s="6"/>
      <c r="AA225" s="6"/>
      <c r="AB225" s="5"/>
    </row>
    <row r="226" spans="1:28" ht="12.75" customHeight="1" x14ac:dyDescent="0.2">
      <c r="A226" s="6"/>
      <c r="D226" s="6"/>
      <c r="F226" s="6"/>
      <c r="G226" s="6"/>
      <c r="H226" s="6"/>
      <c r="I226" s="6"/>
      <c r="K226" s="6"/>
      <c r="L226" s="6"/>
      <c r="N226" s="6"/>
      <c r="O226" s="6"/>
      <c r="P226" s="6"/>
      <c r="R226" s="6"/>
      <c r="V226" s="7"/>
      <c r="Z226" s="6"/>
      <c r="AA226" s="6"/>
      <c r="AB226" s="5"/>
    </row>
    <row r="227" spans="1:28" ht="12.75" customHeight="1" x14ac:dyDescent="0.2">
      <c r="A227" s="6"/>
      <c r="D227" s="6"/>
      <c r="F227" s="6"/>
      <c r="G227" s="6"/>
      <c r="H227" s="6"/>
      <c r="I227" s="6"/>
      <c r="K227" s="6"/>
      <c r="L227" s="6"/>
      <c r="N227" s="6"/>
      <c r="O227" s="6"/>
      <c r="P227" s="6"/>
      <c r="R227" s="6"/>
      <c r="V227" s="7"/>
      <c r="Z227" s="6"/>
      <c r="AA227" s="6"/>
      <c r="AB227" s="5"/>
    </row>
    <row r="228" spans="1:28" ht="12.75" customHeight="1" x14ac:dyDescent="0.2">
      <c r="A228" s="6"/>
      <c r="D228" s="6"/>
      <c r="F228" s="6"/>
      <c r="G228" s="6"/>
      <c r="H228" s="6"/>
      <c r="I228" s="6"/>
      <c r="K228" s="6"/>
      <c r="L228" s="6"/>
      <c r="N228" s="6"/>
      <c r="O228" s="6"/>
      <c r="P228" s="6"/>
      <c r="R228" s="6"/>
      <c r="V228" s="7"/>
      <c r="Z228" s="6"/>
      <c r="AA228" s="6"/>
      <c r="AB228" s="5"/>
    </row>
    <row r="229" spans="1:28" ht="12.75" customHeight="1" x14ac:dyDescent="0.2">
      <c r="A229" s="6"/>
      <c r="D229" s="6"/>
      <c r="F229" s="6"/>
      <c r="G229" s="6"/>
      <c r="H229" s="6"/>
      <c r="I229" s="6"/>
      <c r="K229" s="6"/>
      <c r="L229" s="6"/>
      <c r="N229" s="6"/>
      <c r="O229" s="6"/>
      <c r="P229" s="6"/>
      <c r="R229" s="6"/>
      <c r="V229" s="7"/>
      <c r="Z229" s="6"/>
      <c r="AA229" s="6"/>
      <c r="AB229" s="5"/>
    </row>
    <row r="230" spans="1:28" ht="12.75" customHeight="1" x14ac:dyDescent="0.2">
      <c r="A230" s="6"/>
      <c r="D230" s="6"/>
      <c r="F230" s="6"/>
      <c r="G230" s="6"/>
      <c r="H230" s="6"/>
      <c r="I230" s="6"/>
      <c r="K230" s="6"/>
      <c r="L230" s="6"/>
      <c r="N230" s="6"/>
      <c r="O230" s="6"/>
      <c r="P230" s="6"/>
      <c r="R230" s="6"/>
      <c r="V230" s="7"/>
      <c r="Z230" s="6"/>
      <c r="AA230" s="6"/>
      <c r="AB230" s="5"/>
    </row>
    <row r="231" spans="1:28" ht="12.75" customHeight="1" x14ac:dyDescent="0.2">
      <c r="A231" s="6"/>
      <c r="D231" s="6"/>
      <c r="F231" s="6"/>
      <c r="G231" s="6"/>
      <c r="H231" s="6"/>
      <c r="I231" s="6"/>
      <c r="K231" s="6"/>
      <c r="L231" s="6"/>
      <c r="N231" s="6"/>
      <c r="O231" s="6"/>
      <c r="P231" s="6"/>
      <c r="R231" s="6"/>
      <c r="V231" s="7"/>
      <c r="Z231" s="6"/>
      <c r="AA231" s="6"/>
      <c r="AB231" s="5"/>
    </row>
    <row r="232" spans="1:28" ht="12.75" customHeight="1" x14ac:dyDescent="0.2">
      <c r="A232" s="6"/>
      <c r="D232" s="6"/>
      <c r="F232" s="6"/>
      <c r="G232" s="6"/>
      <c r="H232" s="6"/>
      <c r="I232" s="6"/>
      <c r="K232" s="6"/>
      <c r="L232" s="6"/>
      <c r="N232" s="6"/>
      <c r="O232" s="6"/>
      <c r="P232" s="6"/>
      <c r="R232" s="6"/>
      <c r="V232" s="7"/>
      <c r="Z232" s="6"/>
      <c r="AA232" s="6"/>
      <c r="AB232" s="5"/>
    </row>
    <row r="233" spans="1:28" ht="12.75" customHeight="1" x14ac:dyDescent="0.2">
      <c r="A233" s="6"/>
      <c r="D233" s="6"/>
      <c r="F233" s="6"/>
      <c r="G233" s="6"/>
      <c r="H233" s="6"/>
      <c r="I233" s="6"/>
      <c r="K233" s="6"/>
      <c r="L233" s="6"/>
      <c r="N233" s="6"/>
      <c r="O233" s="6"/>
      <c r="P233" s="6"/>
      <c r="R233" s="6"/>
      <c r="V233" s="7"/>
      <c r="Z233" s="6"/>
      <c r="AA233" s="6"/>
      <c r="AB233" s="5"/>
    </row>
    <row r="234" spans="1:28" ht="12.75" customHeight="1" x14ac:dyDescent="0.2">
      <c r="A234" s="6"/>
      <c r="D234" s="6"/>
      <c r="F234" s="6"/>
      <c r="G234" s="6"/>
      <c r="H234" s="6"/>
      <c r="I234" s="6"/>
      <c r="K234" s="6"/>
      <c r="L234" s="6"/>
      <c r="N234" s="6"/>
      <c r="O234" s="6"/>
      <c r="P234" s="6"/>
      <c r="R234" s="6"/>
      <c r="V234" s="7"/>
      <c r="Z234" s="6"/>
      <c r="AA234" s="6"/>
      <c r="AB234" s="5"/>
    </row>
    <row r="235" spans="1:28" ht="12.75" customHeight="1" x14ac:dyDescent="0.2">
      <c r="A235" s="6"/>
      <c r="D235" s="6"/>
      <c r="F235" s="6"/>
      <c r="G235" s="6"/>
      <c r="H235" s="6"/>
      <c r="I235" s="6"/>
      <c r="K235" s="6"/>
      <c r="L235" s="6"/>
      <c r="N235" s="6"/>
      <c r="O235" s="6"/>
      <c r="P235" s="6"/>
      <c r="R235" s="6"/>
      <c r="V235" s="7"/>
      <c r="Z235" s="6"/>
      <c r="AA235" s="6"/>
      <c r="AB235" s="5"/>
    </row>
    <row r="236" spans="1:28" ht="12.75" customHeight="1" x14ac:dyDescent="0.2">
      <c r="A236" s="6"/>
      <c r="D236" s="6"/>
      <c r="F236" s="6"/>
      <c r="G236" s="6"/>
      <c r="H236" s="6"/>
      <c r="I236" s="6"/>
      <c r="K236" s="6"/>
      <c r="L236" s="6"/>
      <c r="N236" s="6"/>
      <c r="O236" s="6"/>
      <c r="P236" s="6"/>
      <c r="R236" s="6"/>
      <c r="V236" s="7"/>
      <c r="Z236" s="6"/>
      <c r="AA236" s="6"/>
      <c r="AB236" s="5"/>
    </row>
    <row r="237" spans="1:28" ht="12.75" customHeight="1" x14ac:dyDescent="0.2">
      <c r="A237" s="6"/>
      <c r="D237" s="6"/>
      <c r="F237" s="6"/>
      <c r="G237" s="6"/>
      <c r="H237" s="6"/>
      <c r="I237" s="6"/>
      <c r="K237" s="6"/>
      <c r="L237" s="6"/>
      <c r="N237" s="6"/>
      <c r="O237" s="6"/>
      <c r="P237" s="6"/>
      <c r="R237" s="6"/>
      <c r="V237" s="7"/>
      <c r="Z237" s="6"/>
      <c r="AA237" s="6"/>
      <c r="AB237" s="5"/>
    </row>
    <row r="238" spans="1:28" ht="12.75" customHeight="1" x14ac:dyDescent="0.2">
      <c r="A238" s="6"/>
      <c r="D238" s="6"/>
      <c r="F238" s="6"/>
      <c r="G238" s="6"/>
      <c r="H238" s="6"/>
      <c r="I238" s="6"/>
      <c r="K238" s="6"/>
      <c r="L238" s="6"/>
      <c r="N238" s="6"/>
      <c r="O238" s="6"/>
      <c r="P238" s="6"/>
      <c r="R238" s="6"/>
      <c r="V238" s="7"/>
      <c r="Z238" s="6"/>
      <c r="AA238" s="6"/>
      <c r="AB238" s="5"/>
    </row>
    <row r="239" spans="1:28" ht="12.75" customHeight="1" x14ac:dyDescent="0.2">
      <c r="A239" s="6"/>
      <c r="D239" s="6"/>
      <c r="F239" s="6"/>
      <c r="G239" s="6"/>
      <c r="H239" s="6"/>
      <c r="I239" s="6"/>
      <c r="K239" s="6"/>
      <c r="L239" s="6"/>
      <c r="N239" s="6"/>
      <c r="O239" s="6"/>
      <c r="P239" s="6"/>
      <c r="R239" s="6"/>
      <c r="V239" s="7"/>
      <c r="Z239" s="6"/>
      <c r="AA239" s="6"/>
      <c r="AB239" s="5"/>
    </row>
    <row r="240" spans="1:28" ht="12.75" customHeight="1" x14ac:dyDescent="0.2">
      <c r="A240" s="6"/>
      <c r="D240" s="6"/>
      <c r="F240" s="6"/>
      <c r="G240" s="6"/>
      <c r="H240" s="6"/>
      <c r="I240" s="6"/>
      <c r="K240" s="6"/>
      <c r="L240" s="6"/>
      <c r="N240" s="6"/>
      <c r="O240" s="6"/>
      <c r="P240" s="6"/>
      <c r="R240" s="6"/>
      <c r="V240" s="7"/>
      <c r="Z240" s="6"/>
      <c r="AA240" s="6"/>
      <c r="AB240" s="5"/>
    </row>
    <row r="241" spans="1:28" ht="12.75" customHeight="1" x14ac:dyDescent="0.2">
      <c r="A241" s="6"/>
      <c r="D241" s="6"/>
      <c r="F241" s="6"/>
      <c r="G241" s="6"/>
      <c r="H241" s="6"/>
      <c r="I241" s="6"/>
      <c r="K241" s="6"/>
      <c r="L241" s="6"/>
      <c r="N241" s="6"/>
      <c r="O241" s="6"/>
      <c r="P241" s="6"/>
      <c r="R241" s="6"/>
      <c r="V241" s="7"/>
      <c r="Z241" s="6"/>
      <c r="AA241" s="6"/>
      <c r="AB241" s="5"/>
    </row>
    <row r="242" spans="1:28" ht="12.75" customHeight="1" x14ac:dyDescent="0.2">
      <c r="A242" s="6"/>
      <c r="D242" s="6"/>
      <c r="F242" s="6"/>
      <c r="G242" s="6"/>
      <c r="H242" s="6"/>
      <c r="I242" s="6"/>
      <c r="K242" s="6"/>
      <c r="L242" s="6"/>
      <c r="N242" s="6"/>
      <c r="O242" s="6"/>
      <c r="P242" s="6"/>
      <c r="R242" s="6"/>
      <c r="V242" s="7"/>
      <c r="Z242" s="6"/>
      <c r="AA242" s="6"/>
      <c r="AB242" s="5"/>
    </row>
    <row r="243" spans="1:28" ht="12.75" customHeight="1" x14ac:dyDescent="0.2">
      <c r="A243" s="6"/>
      <c r="D243" s="6"/>
      <c r="F243" s="6"/>
      <c r="G243" s="6"/>
      <c r="H243" s="6"/>
      <c r="I243" s="6"/>
      <c r="K243" s="6"/>
      <c r="L243" s="6"/>
      <c r="N243" s="6"/>
      <c r="O243" s="6"/>
      <c r="P243" s="6"/>
      <c r="R243" s="6"/>
      <c r="V243" s="7"/>
      <c r="Z243" s="6"/>
      <c r="AA243" s="6"/>
      <c r="AB243" s="5"/>
    </row>
    <row r="244" spans="1:28" ht="12.75" customHeight="1" x14ac:dyDescent="0.2">
      <c r="A244" s="6"/>
      <c r="D244" s="6"/>
      <c r="F244" s="6"/>
      <c r="G244" s="6"/>
      <c r="H244" s="6"/>
      <c r="I244" s="6"/>
      <c r="K244" s="6"/>
      <c r="L244" s="6"/>
      <c r="N244" s="6"/>
      <c r="O244" s="6"/>
      <c r="P244" s="6"/>
      <c r="R244" s="6"/>
      <c r="V244" s="7"/>
      <c r="Z244" s="6"/>
      <c r="AA244" s="6"/>
      <c r="AB244" s="5"/>
    </row>
    <row r="245" spans="1:28" ht="12.75" customHeight="1" x14ac:dyDescent="0.2">
      <c r="A245" s="6"/>
      <c r="D245" s="6"/>
      <c r="F245" s="6"/>
      <c r="G245" s="6"/>
      <c r="H245" s="6"/>
      <c r="I245" s="6"/>
      <c r="K245" s="6"/>
      <c r="L245" s="6"/>
      <c r="N245" s="6"/>
      <c r="O245" s="6"/>
      <c r="P245" s="6"/>
      <c r="R245" s="6"/>
      <c r="V245" s="7"/>
      <c r="Z245" s="6"/>
      <c r="AA245" s="6"/>
      <c r="AB245" s="5"/>
    </row>
    <row r="246" spans="1:28" ht="12.75" customHeight="1" x14ac:dyDescent="0.2">
      <c r="A246" s="6"/>
      <c r="D246" s="6"/>
      <c r="F246" s="6"/>
      <c r="G246" s="6"/>
      <c r="H246" s="6"/>
      <c r="I246" s="6"/>
      <c r="K246" s="6"/>
      <c r="L246" s="6"/>
      <c r="N246" s="6"/>
      <c r="O246" s="6"/>
      <c r="P246" s="6"/>
      <c r="R246" s="6"/>
      <c r="V246" s="7"/>
      <c r="Z246" s="6"/>
      <c r="AA246" s="6"/>
      <c r="AB246" s="5"/>
    </row>
    <row r="247" spans="1:28" ht="12.75" customHeight="1" x14ac:dyDescent="0.2">
      <c r="A247" s="6"/>
      <c r="D247" s="6"/>
      <c r="F247" s="6"/>
      <c r="G247" s="6"/>
      <c r="H247" s="6"/>
      <c r="I247" s="6"/>
      <c r="K247" s="6"/>
      <c r="L247" s="6"/>
      <c r="N247" s="6"/>
      <c r="O247" s="6"/>
      <c r="P247" s="6"/>
      <c r="R247" s="6"/>
      <c r="V247" s="7"/>
      <c r="Z247" s="6"/>
      <c r="AA247" s="6"/>
      <c r="AB247" s="5"/>
    </row>
    <row r="248" spans="1:28" ht="12.75" customHeight="1" x14ac:dyDescent="0.2">
      <c r="A248" s="6"/>
      <c r="D248" s="6"/>
      <c r="F248" s="6"/>
      <c r="G248" s="6"/>
      <c r="H248" s="6"/>
      <c r="I248" s="6"/>
      <c r="K248" s="6"/>
      <c r="L248" s="6"/>
      <c r="N248" s="6"/>
      <c r="O248" s="6"/>
      <c r="P248" s="6"/>
      <c r="R248" s="6"/>
      <c r="V248" s="7"/>
      <c r="Z248" s="6"/>
      <c r="AA248" s="6"/>
      <c r="AB248" s="5"/>
    </row>
    <row r="249" spans="1:28" ht="12.75" customHeight="1" x14ac:dyDescent="0.2">
      <c r="A249" s="6"/>
      <c r="D249" s="6"/>
      <c r="F249" s="6"/>
      <c r="G249" s="6"/>
      <c r="H249" s="6"/>
      <c r="I249" s="6"/>
      <c r="K249" s="6"/>
      <c r="L249" s="6"/>
      <c r="N249" s="6"/>
      <c r="O249" s="6"/>
      <c r="P249" s="6"/>
      <c r="R249" s="6"/>
      <c r="V249" s="7"/>
      <c r="Z249" s="6"/>
      <c r="AA249" s="6"/>
      <c r="AB249" s="5"/>
    </row>
    <row r="250" spans="1:28" ht="12.75" customHeight="1" x14ac:dyDescent="0.2">
      <c r="A250" s="6"/>
      <c r="D250" s="6"/>
      <c r="F250" s="6"/>
      <c r="G250" s="6"/>
      <c r="H250" s="6"/>
      <c r="I250" s="6"/>
      <c r="K250" s="6"/>
      <c r="L250" s="6"/>
      <c r="N250" s="6"/>
      <c r="O250" s="6"/>
      <c r="P250" s="6"/>
      <c r="R250" s="6"/>
      <c r="V250" s="7"/>
      <c r="Z250" s="6"/>
      <c r="AA250" s="6"/>
      <c r="AB250" s="5"/>
    </row>
    <row r="251" spans="1:28" ht="12.75" customHeight="1" x14ac:dyDescent="0.2">
      <c r="A251" s="6"/>
      <c r="D251" s="6"/>
      <c r="F251" s="6"/>
      <c r="G251" s="6"/>
      <c r="H251" s="6"/>
      <c r="I251" s="6"/>
      <c r="K251" s="6"/>
      <c r="L251" s="6"/>
      <c r="N251" s="6"/>
      <c r="O251" s="6"/>
      <c r="P251" s="6"/>
      <c r="R251" s="6"/>
      <c r="V251" s="7"/>
      <c r="Z251" s="6"/>
      <c r="AA251" s="6"/>
      <c r="AB251" s="5"/>
    </row>
    <row r="252" spans="1:28" ht="12.75" customHeight="1" x14ac:dyDescent="0.2">
      <c r="A252" s="6"/>
      <c r="D252" s="6"/>
      <c r="F252" s="6"/>
      <c r="G252" s="6"/>
      <c r="H252" s="6"/>
      <c r="I252" s="6"/>
      <c r="K252" s="6"/>
      <c r="L252" s="6"/>
      <c r="N252" s="6"/>
      <c r="O252" s="6"/>
      <c r="P252" s="6"/>
      <c r="R252" s="6"/>
      <c r="V252" s="7"/>
      <c r="Z252" s="6"/>
      <c r="AA252" s="6"/>
      <c r="AB252" s="5"/>
    </row>
    <row r="253" spans="1:28" ht="12.75" customHeight="1" x14ac:dyDescent="0.2">
      <c r="A253" s="6"/>
      <c r="D253" s="6"/>
      <c r="F253" s="6"/>
      <c r="G253" s="6"/>
      <c r="H253" s="6"/>
      <c r="I253" s="6"/>
      <c r="K253" s="6"/>
      <c r="L253" s="6"/>
      <c r="N253" s="6"/>
      <c r="O253" s="6"/>
      <c r="P253" s="6"/>
      <c r="R253" s="6"/>
      <c r="V253" s="7"/>
      <c r="Z253" s="6"/>
      <c r="AA253" s="6"/>
      <c r="AB253" s="5"/>
    </row>
    <row r="254" spans="1:28" ht="12.75" customHeight="1" x14ac:dyDescent="0.2">
      <c r="A254" s="6"/>
      <c r="D254" s="6"/>
      <c r="F254" s="6"/>
      <c r="G254" s="6"/>
      <c r="H254" s="6"/>
      <c r="I254" s="6"/>
      <c r="K254" s="6"/>
      <c r="L254" s="6"/>
      <c r="N254" s="6"/>
      <c r="O254" s="6"/>
      <c r="P254" s="6"/>
      <c r="R254" s="6"/>
      <c r="V254" s="7"/>
      <c r="Z254" s="6"/>
      <c r="AA254" s="6"/>
      <c r="AB254" s="5"/>
    </row>
    <row r="255" spans="1:28" ht="12.75" customHeight="1" x14ac:dyDescent="0.2">
      <c r="A255" s="6"/>
      <c r="D255" s="6"/>
      <c r="F255" s="6"/>
      <c r="G255" s="6"/>
      <c r="H255" s="6"/>
      <c r="I255" s="6"/>
      <c r="K255" s="6"/>
      <c r="L255" s="6"/>
      <c r="N255" s="6"/>
      <c r="O255" s="6"/>
      <c r="P255" s="6"/>
      <c r="R255" s="6"/>
      <c r="V255" s="7"/>
      <c r="Z255" s="6"/>
      <c r="AA255" s="6"/>
      <c r="AB255" s="5"/>
    </row>
    <row r="256" spans="1:28" ht="12.75" customHeight="1" x14ac:dyDescent="0.2">
      <c r="A256" s="6"/>
      <c r="D256" s="6"/>
      <c r="F256" s="6"/>
      <c r="G256" s="6"/>
      <c r="H256" s="6"/>
      <c r="I256" s="6"/>
      <c r="K256" s="6"/>
      <c r="L256" s="6"/>
      <c r="N256" s="6"/>
      <c r="O256" s="6"/>
      <c r="P256" s="6"/>
      <c r="R256" s="6"/>
      <c r="V256" s="7"/>
      <c r="Z256" s="6"/>
      <c r="AA256" s="6"/>
      <c r="AB256" s="5"/>
    </row>
    <row r="257" spans="1:28" ht="12.75" customHeight="1" x14ac:dyDescent="0.2">
      <c r="A257" s="6"/>
      <c r="D257" s="6"/>
      <c r="F257" s="6"/>
      <c r="G257" s="6"/>
      <c r="H257" s="6"/>
      <c r="I257" s="6"/>
      <c r="K257" s="6"/>
      <c r="L257" s="6"/>
      <c r="N257" s="6"/>
      <c r="O257" s="6"/>
      <c r="P257" s="6"/>
      <c r="R257" s="6"/>
      <c r="V257" s="7"/>
      <c r="Z257" s="6"/>
      <c r="AA257" s="6"/>
      <c r="AB257" s="5"/>
    </row>
    <row r="258" spans="1:28" ht="12.75" customHeight="1" x14ac:dyDescent="0.2">
      <c r="A258" s="6"/>
      <c r="D258" s="6"/>
      <c r="F258" s="6"/>
      <c r="G258" s="6"/>
      <c r="H258" s="6"/>
      <c r="I258" s="6"/>
      <c r="K258" s="6"/>
      <c r="L258" s="6"/>
      <c r="N258" s="6"/>
      <c r="O258" s="6"/>
      <c r="P258" s="6"/>
      <c r="R258" s="6"/>
      <c r="V258" s="7"/>
      <c r="Z258" s="6"/>
      <c r="AA258" s="6"/>
      <c r="AB258" s="5"/>
    </row>
    <row r="259" spans="1:28" ht="12.75" customHeight="1" x14ac:dyDescent="0.2">
      <c r="A259" s="6"/>
      <c r="D259" s="6"/>
      <c r="F259" s="6"/>
      <c r="G259" s="6"/>
      <c r="H259" s="6"/>
      <c r="I259" s="6"/>
      <c r="K259" s="6"/>
      <c r="L259" s="6"/>
      <c r="N259" s="6"/>
      <c r="O259" s="6"/>
      <c r="P259" s="6"/>
      <c r="R259" s="6"/>
      <c r="V259" s="7"/>
      <c r="Z259" s="6"/>
      <c r="AA259" s="6"/>
      <c r="AB259" s="5"/>
    </row>
    <row r="260" spans="1:28" ht="12.75" customHeight="1" x14ac:dyDescent="0.2">
      <c r="A260" s="6"/>
      <c r="D260" s="6"/>
      <c r="F260" s="6"/>
      <c r="G260" s="6"/>
      <c r="H260" s="6"/>
      <c r="I260" s="6"/>
      <c r="K260" s="6"/>
      <c r="L260" s="6"/>
      <c r="N260" s="6"/>
      <c r="O260" s="6"/>
      <c r="P260" s="6"/>
      <c r="R260" s="6"/>
      <c r="V260" s="7"/>
      <c r="Z260" s="6"/>
      <c r="AA260" s="6"/>
      <c r="AB260" s="5"/>
    </row>
    <row r="261" spans="1:28" ht="12.75" customHeight="1" x14ac:dyDescent="0.2">
      <c r="A261" s="6"/>
      <c r="D261" s="6"/>
      <c r="F261" s="6"/>
      <c r="G261" s="6"/>
      <c r="H261" s="6"/>
      <c r="I261" s="6"/>
      <c r="K261" s="6"/>
      <c r="L261" s="6"/>
      <c r="N261" s="6"/>
      <c r="O261" s="6"/>
      <c r="P261" s="6"/>
      <c r="R261" s="6"/>
      <c r="V261" s="7"/>
      <c r="Z261" s="6"/>
      <c r="AA261" s="6"/>
      <c r="AB261" s="5"/>
    </row>
    <row r="262" spans="1:28" ht="12.75" customHeight="1" x14ac:dyDescent="0.2">
      <c r="A262" s="6"/>
      <c r="D262" s="6"/>
      <c r="F262" s="6"/>
      <c r="G262" s="6"/>
      <c r="H262" s="6"/>
      <c r="I262" s="6"/>
      <c r="K262" s="6"/>
      <c r="L262" s="6"/>
      <c r="N262" s="6"/>
      <c r="O262" s="6"/>
      <c r="P262" s="6"/>
      <c r="R262" s="6"/>
      <c r="V262" s="7"/>
      <c r="Z262" s="6"/>
      <c r="AA262" s="6"/>
      <c r="AB262" s="5"/>
    </row>
    <row r="263" spans="1:28" ht="12.75" customHeight="1" x14ac:dyDescent="0.2">
      <c r="A263" s="6"/>
      <c r="D263" s="6"/>
      <c r="F263" s="6"/>
      <c r="G263" s="6"/>
      <c r="H263" s="6"/>
      <c r="I263" s="6"/>
      <c r="K263" s="6"/>
      <c r="L263" s="6"/>
      <c r="N263" s="6"/>
      <c r="O263" s="6"/>
      <c r="P263" s="6"/>
      <c r="R263" s="6"/>
      <c r="V263" s="7"/>
      <c r="Z263" s="6"/>
      <c r="AA263" s="6"/>
      <c r="AB263" s="5"/>
    </row>
    <row r="264" spans="1:28" ht="12.75" customHeight="1" x14ac:dyDescent="0.2">
      <c r="A264" s="6"/>
      <c r="D264" s="6"/>
      <c r="F264" s="6"/>
      <c r="G264" s="6"/>
      <c r="H264" s="6"/>
      <c r="I264" s="6"/>
      <c r="K264" s="6"/>
      <c r="L264" s="6"/>
      <c r="N264" s="6"/>
      <c r="O264" s="6"/>
      <c r="P264" s="6"/>
      <c r="R264" s="6"/>
      <c r="V264" s="7"/>
      <c r="Z264" s="6"/>
      <c r="AA264" s="6"/>
      <c r="AB264" s="5"/>
    </row>
    <row r="265" spans="1:28" ht="12.75" customHeight="1" x14ac:dyDescent="0.2">
      <c r="A265" s="6"/>
      <c r="D265" s="6"/>
      <c r="F265" s="6"/>
      <c r="G265" s="6"/>
      <c r="H265" s="6"/>
      <c r="I265" s="6"/>
      <c r="K265" s="6"/>
      <c r="L265" s="6"/>
      <c r="N265" s="6"/>
      <c r="O265" s="6"/>
      <c r="P265" s="6"/>
      <c r="R265" s="6"/>
      <c r="V265" s="7"/>
      <c r="Z265" s="6"/>
      <c r="AA265" s="6"/>
      <c r="AB265" s="5"/>
    </row>
    <row r="266" spans="1:28" ht="12.75" customHeight="1" x14ac:dyDescent="0.2">
      <c r="A266" s="6"/>
      <c r="D266" s="6"/>
      <c r="F266" s="6"/>
      <c r="G266" s="6"/>
      <c r="H266" s="6"/>
      <c r="I266" s="6"/>
      <c r="K266" s="6"/>
      <c r="L266" s="6"/>
      <c r="N266" s="6"/>
      <c r="O266" s="6"/>
      <c r="P266" s="6"/>
      <c r="R266" s="6"/>
      <c r="V266" s="7"/>
      <c r="Z266" s="6"/>
      <c r="AA266" s="6"/>
      <c r="AB266" s="5"/>
    </row>
    <row r="267" spans="1:28" ht="12.75" customHeight="1" x14ac:dyDescent="0.2">
      <c r="A267" s="6"/>
      <c r="D267" s="6"/>
      <c r="F267" s="6"/>
      <c r="G267" s="6"/>
      <c r="H267" s="6"/>
      <c r="I267" s="6"/>
      <c r="K267" s="6"/>
      <c r="L267" s="6"/>
      <c r="N267" s="6"/>
      <c r="O267" s="6"/>
      <c r="P267" s="6"/>
      <c r="R267" s="6"/>
      <c r="V267" s="7"/>
      <c r="Z267" s="6"/>
      <c r="AA267" s="6"/>
      <c r="AB267" s="5"/>
    </row>
    <row r="268" spans="1:28" ht="12.75" customHeight="1" x14ac:dyDescent="0.2">
      <c r="A268" s="6"/>
      <c r="D268" s="6"/>
      <c r="F268" s="6"/>
      <c r="G268" s="6"/>
      <c r="H268" s="6"/>
      <c r="I268" s="6"/>
      <c r="K268" s="6"/>
      <c r="L268" s="6"/>
      <c r="N268" s="6"/>
      <c r="O268" s="6"/>
      <c r="P268" s="6"/>
      <c r="R268" s="6"/>
      <c r="V268" s="7"/>
      <c r="Z268" s="6"/>
      <c r="AA268" s="6"/>
      <c r="AB268" s="5"/>
    </row>
    <row r="269" spans="1:28" ht="12.75" customHeight="1" x14ac:dyDescent="0.2">
      <c r="A269" s="6"/>
      <c r="D269" s="6"/>
      <c r="F269" s="6"/>
      <c r="G269" s="6"/>
      <c r="H269" s="6"/>
      <c r="I269" s="6"/>
      <c r="K269" s="6"/>
      <c r="L269" s="6"/>
      <c r="N269" s="6"/>
      <c r="O269" s="6"/>
      <c r="P269" s="6"/>
      <c r="R269" s="6"/>
      <c r="V269" s="7"/>
      <c r="Z269" s="6"/>
      <c r="AA269" s="6"/>
      <c r="AB269" s="5"/>
    </row>
    <row r="270" spans="1:28" ht="12.75" customHeight="1" x14ac:dyDescent="0.2">
      <c r="A270" s="6"/>
      <c r="D270" s="6"/>
      <c r="F270" s="6"/>
      <c r="G270" s="6"/>
      <c r="H270" s="6"/>
      <c r="I270" s="6"/>
      <c r="K270" s="6"/>
      <c r="L270" s="6"/>
      <c r="N270" s="6"/>
      <c r="O270" s="6"/>
      <c r="P270" s="6"/>
      <c r="R270" s="6"/>
      <c r="V270" s="7"/>
      <c r="Z270" s="6"/>
      <c r="AA270" s="6"/>
      <c r="AB270" s="5"/>
    </row>
    <row r="271" spans="1:28" ht="12.75" customHeight="1" x14ac:dyDescent="0.2">
      <c r="A271" s="6"/>
      <c r="D271" s="6"/>
      <c r="F271" s="6"/>
      <c r="G271" s="6"/>
      <c r="H271" s="6"/>
      <c r="I271" s="6"/>
      <c r="K271" s="6"/>
      <c r="L271" s="6"/>
      <c r="N271" s="6"/>
      <c r="O271" s="6"/>
      <c r="P271" s="6"/>
      <c r="R271" s="6"/>
      <c r="V271" s="7"/>
      <c r="Z271" s="6"/>
      <c r="AA271" s="6"/>
      <c r="AB271" s="5"/>
    </row>
    <row r="272" spans="1:28" ht="12.75" customHeight="1" x14ac:dyDescent="0.2">
      <c r="A272" s="6"/>
      <c r="D272" s="6"/>
      <c r="F272" s="6"/>
      <c r="G272" s="6"/>
      <c r="H272" s="6"/>
      <c r="I272" s="6"/>
      <c r="K272" s="6"/>
      <c r="L272" s="6"/>
      <c r="N272" s="6"/>
      <c r="O272" s="6"/>
      <c r="P272" s="6"/>
      <c r="R272" s="6"/>
      <c r="V272" s="7"/>
      <c r="Z272" s="6"/>
      <c r="AA272" s="6"/>
      <c r="AB272" s="5"/>
    </row>
    <row r="273" spans="1:28" ht="12.75" customHeight="1" x14ac:dyDescent="0.2">
      <c r="A273" s="6"/>
      <c r="D273" s="6"/>
      <c r="F273" s="6"/>
      <c r="G273" s="6"/>
      <c r="H273" s="6"/>
      <c r="I273" s="6"/>
      <c r="K273" s="6"/>
      <c r="L273" s="6"/>
      <c r="N273" s="6"/>
      <c r="O273" s="6"/>
      <c r="P273" s="6"/>
      <c r="R273" s="6"/>
      <c r="V273" s="7"/>
      <c r="Z273" s="6"/>
      <c r="AA273" s="6"/>
      <c r="AB273" s="5"/>
    </row>
    <row r="274" spans="1:28" ht="12.75" customHeight="1" x14ac:dyDescent="0.2">
      <c r="A274" s="6"/>
      <c r="D274" s="6"/>
      <c r="F274" s="6"/>
      <c r="G274" s="6"/>
      <c r="H274" s="6"/>
      <c r="I274" s="6"/>
      <c r="K274" s="6"/>
      <c r="L274" s="6"/>
      <c r="N274" s="6"/>
      <c r="O274" s="6"/>
      <c r="P274" s="6"/>
      <c r="R274" s="6"/>
      <c r="V274" s="7"/>
      <c r="Z274" s="6"/>
      <c r="AA274" s="6"/>
      <c r="AB274" s="5"/>
    </row>
    <row r="275" spans="1:28" ht="12.75" customHeight="1" x14ac:dyDescent="0.2">
      <c r="A275" s="6"/>
      <c r="D275" s="6"/>
      <c r="F275" s="6"/>
      <c r="G275" s="6"/>
      <c r="H275" s="6"/>
      <c r="I275" s="6"/>
      <c r="K275" s="6"/>
      <c r="L275" s="6"/>
      <c r="N275" s="6"/>
      <c r="O275" s="6"/>
      <c r="P275" s="6"/>
      <c r="R275" s="6"/>
      <c r="V275" s="7"/>
      <c r="Z275" s="6"/>
      <c r="AA275" s="6"/>
      <c r="AB275" s="5"/>
    </row>
    <row r="276" spans="1:28" ht="12.75" customHeight="1" x14ac:dyDescent="0.2">
      <c r="A276" s="6"/>
      <c r="D276" s="6"/>
      <c r="F276" s="6"/>
      <c r="G276" s="6"/>
      <c r="H276" s="6"/>
      <c r="I276" s="6"/>
      <c r="K276" s="6"/>
      <c r="L276" s="6"/>
      <c r="N276" s="6"/>
      <c r="O276" s="6"/>
      <c r="P276" s="6"/>
      <c r="R276" s="6"/>
      <c r="V276" s="7"/>
      <c r="Z276" s="6"/>
      <c r="AA276" s="6"/>
      <c r="AB276" s="5"/>
    </row>
    <row r="277" spans="1:28" ht="12.75" customHeight="1" x14ac:dyDescent="0.2">
      <c r="A277" s="6"/>
      <c r="D277" s="6"/>
      <c r="F277" s="6"/>
      <c r="G277" s="6"/>
      <c r="H277" s="6"/>
      <c r="I277" s="6"/>
      <c r="K277" s="6"/>
      <c r="L277" s="6"/>
      <c r="N277" s="6"/>
      <c r="O277" s="6"/>
      <c r="P277" s="6"/>
      <c r="R277" s="6"/>
      <c r="V277" s="7"/>
      <c r="Z277" s="6"/>
      <c r="AA277" s="6"/>
      <c r="AB277" s="5"/>
    </row>
    <row r="278" spans="1:28" ht="12.75" customHeight="1" x14ac:dyDescent="0.2">
      <c r="A278" s="6"/>
      <c r="D278" s="6"/>
      <c r="F278" s="6"/>
      <c r="G278" s="6"/>
      <c r="H278" s="6"/>
      <c r="I278" s="6"/>
      <c r="K278" s="6"/>
      <c r="L278" s="6"/>
      <c r="N278" s="6"/>
      <c r="O278" s="6"/>
      <c r="P278" s="6"/>
      <c r="R278" s="6"/>
      <c r="V278" s="7"/>
      <c r="Z278" s="6"/>
      <c r="AA278" s="6"/>
      <c r="AB278" s="5"/>
    </row>
    <row r="279" spans="1:28" ht="12.75" customHeight="1" x14ac:dyDescent="0.2">
      <c r="A279" s="6"/>
      <c r="D279" s="6"/>
      <c r="F279" s="6"/>
      <c r="G279" s="6"/>
      <c r="H279" s="6"/>
      <c r="I279" s="6"/>
      <c r="K279" s="6"/>
      <c r="L279" s="6"/>
      <c r="N279" s="6"/>
      <c r="O279" s="6"/>
      <c r="P279" s="6"/>
      <c r="R279" s="6"/>
      <c r="V279" s="7"/>
      <c r="Z279" s="6"/>
      <c r="AA279" s="6"/>
      <c r="AB279" s="5"/>
    </row>
    <row r="280" spans="1:28" ht="12.75" customHeight="1" x14ac:dyDescent="0.2">
      <c r="A280" s="6"/>
      <c r="D280" s="6"/>
      <c r="F280" s="6"/>
      <c r="G280" s="6"/>
      <c r="H280" s="6"/>
      <c r="I280" s="6"/>
      <c r="K280" s="6"/>
      <c r="L280" s="6"/>
      <c r="N280" s="6"/>
      <c r="O280" s="6"/>
      <c r="P280" s="6"/>
      <c r="R280" s="6"/>
      <c r="V280" s="7"/>
      <c r="Z280" s="6"/>
      <c r="AA280" s="6"/>
      <c r="AB280" s="5"/>
    </row>
    <row r="281" spans="1:28" ht="12.75" customHeight="1" x14ac:dyDescent="0.2">
      <c r="A281" s="6"/>
      <c r="D281" s="6"/>
      <c r="F281" s="6"/>
      <c r="G281" s="6"/>
      <c r="H281" s="6"/>
      <c r="I281" s="6"/>
      <c r="K281" s="6"/>
      <c r="L281" s="6"/>
      <c r="N281" s="6"/>
      <c r="O281" s="6"/>
      <c r="P281" s="6"/>
      <c r="R281" s="6"/>
      <c r="V281" s="7"/>
      <c r="Z281" s="6"/>
      <c r="AA281" s="6"/>
      <c r="AB281" s="5"/>
    </row>
    <row r="282" spans="1:28" ht="12.75" customHeight="1" x14ac:dyDescent="0.2">
      <c r="A282" s="6"/>
      <c r="D282" s="6"/>
      <c r="F282" s="6"/>
      <c r="G282" s="6"/>
      <c r="H282" s="6"/>
      <c r="I282" s="6"/>
      <c r="K282" s="6"/>
      <c r="L282" s="6"/>
      <c r="N282" s="6"/>
      <c r="O282" s="6"/>
      <c r="P282" s="6"/>
      <c r="R282" s="6"/>
      <c r="V282" s="7"/>
      <c r="Z282" s="6"/>
      <c r="AA282" s="6"/>
      <c r="AB282" s="5"/>
    </row>
    <row r="283" spans="1:28" ht="12.75" customHeight="1" x14ac:dyDescent="0.2">
      <c r="A283" s="6"/>
      <c r="D283" s="6"/>
      <c r="F283" s="6"/>
      <c r="G283" s="6"/>
      <c r="H283" s="6"/>
      <c r="I283" s="6"/>
      <c r="K283" s="6"/>
      <c r="L283" s="6"/>
      <c r="N283" s="6"/>
      <c r="O283" s="6"/>
      <c r="P283" s="6"/>
      <c r="R283" s="6"/>
      <c r="V283" s="7"/>
      <c r="Z283" s="6"/>
      <c r="AA283" s="6"/>
      <c r="AB283" s="5"/>
    </row>
    <row r="284" spans="1:28" ht="12.75" customHeight="1" x14ac:dyDescent="0.2">
      <c r="A284" s="6"/>
      <c r="D284" s="6"/>
      <c r="F284" s="6"/>
      <c r="G284" s="6"/>
      <c r="H284" s="6"/>
      <c r="I284" s="6"/>
      <c r="K284" s="6"/>
      <c r="L284" s="6"/>
      <c r="N284" s="6"/>
      <c r="O284" s="6"/>
      <c r="P284" s="6"/>
      <c r="R284" s="6"/>
      <c r="V284" s="7"/>
      <c r="Z284" s="6"/>
      <c r="AA284" s="6"/>
      <c r="AB284" s="5"/>
    </row>
    <row r="285" spans="1:28" ht="12.75" customHeight="1" x14ac:dyDescent="0.2">
      <c r="A285" s="6"/>
      <c r="D285" s="6"/>
      <c r="F285" s="6"/>
      <c r="G285" s="6"/>
      <c r="H285" s="6"/>
      <c r="I285" s="6"/>
      <c r="K285" s="6"/>
      <c r="L285" s="6"/>
      <c r="N285" s="6"/>
      <c r="O285" s="6"/>
      <c r="P285" s="6"/>
      <c r="R285" s="6"/>
      <c r="V285" s="7"/>
      <c r="Z285" s="6"/>
      <c r="AA285" s="6"/>
      <c r="AB285" s="5"/>
    </row>
    <row r="286" spans="1:28" ht="12.75" customHeight="1" x14ac:dyDescent="0.2">
      <c r="A286" s="6"/>
      <c r="D286" s="6"/>
      <c r="F286" s="6"/>
      <c r="G286" s="6"/>
      <c r="H286" s="6"/>
      <c r="I286" s="6"/>
      <c r="K286" s="6"/>
      <c r="L286" s="6"/>
      <c r="N286" s="6"/>
      <c r="O286" s="6"/>
      <c r="P286" s="6"/>
      <c r="R286" s="6"/>
      <c r="V286" s="7"/>
      <c r="Z286" s="6"/>
      <c r="AA286" s="6"/>
      <c r="AB286" s="5"/>
    </row>
    <row r="287" spans="1:28" ht="12.75" customHeight="1" x14ac:dyDescent="0.2">
      <c r="A287" s="6"/>
      <c r="D287" s="6"/>
      <c r="F287" s="6"/>
      <c r="G287" s="6"/>
      <c r="H287" s="6"/>
      <c r="I287" s="6"/>
      <c r="K287" s="6"/>
      <c r="L287" s="6"/>
      <c r="N287" s="6"/>
      <c r="O287" s="6"/>
      <c r="P287" s="6"/>
      <c r="R287" s="6"/>
      <c r="V287" s="7"/>
      <c r="Z287" s="6"/>
      <c r="AA287" s="6"/>
      <c r="AB287" s="5"/>
    </row>
    <row r="288" spans="1:28" ht="12.75" customHeight="1" x14ac:dyDescent="0.2">
      <c r="A288" s="6"/>
      <c r="D288" s="6"/>
      <c r="F288" s="6"/>
      <c r="G288" s="6"/>
      <c r="H288" s="6"/>
      <c r="I288" s="6"/>
      <c r="K288" s="6"/>
      <c r="L288" s="6"/>
      <c r="N288" s="6"/>
      <c r="O288" s="6"/>
      <c r="P288" s="6"/>
      <c r="R288" s="6"/>
      <c r="V288" s="7"/>
      <c r="Z288" s="6"/>
      <c r="AA288" s="6"/>
      <c r="AB288" s="5"/>
    </row>
    <row r="289" spans="1:28" ht="12.75" customHeight="1" x14ac:dyDescent="0.2">
      <c r="A289" s="6"/>
      <c r="D289" s="6"/>
      <c r="F289" s="6"/>
      <c r="G289" s="6"/>
      <c r="H289" s="6"/>
      <c r="I289" s="6"/>
      <c r="K289" s="6"/>
      <c r="L289" s="6"/>
      <c r="N289" s="6"/>
      <c r="O289" s="6"/>
      <c r="P289" s="6"/>
      <c r="R289" s="6"/>
      <c r="V289" s="7"/>
      <c r="Z289" s="6"/>
      <c r="AA289" s="6"/>
      <c r="AB289" s="5"/>
    </row>
    <row r="290" spans="1:28" ht="12.75" customHeight="1" x14ac:dyDescent="0.2">
      <c r="A290" s="6"/>
      <c r="D290" s="6"/>
      <c r="F290" s="6"/>
      <c r="G290" s="6"/>
      <c r="H290" s="6"/>
      <c r="I290" s="6"/>
      <c r="K290" s="6"/>
      <c r="L290" s="6"/>
      <c r="N290" s="6"/>
      <c r="O290" s="6"/>
      <c r="P290" s="6"/>
      <c r="R290" s="6"/>
      <c r="V290" s="7"/>
      <c r="Z290" s="6"/>
      <c r="AA290" s="6"/>
      <c r="AB290" s="5"/>
    </row>
    <row r="291" spans="1:28" ht="12.75" customHeight="1" x14ac:dyDescent="0.2">
      <c r="A291" s="6"/>
      <c r="D291" s="6"/>
      <c r="F291" s="6"/>
      <c r="G291" s="6"/>
      <c r="H291" s="6"/>
      <c r="I291" s="6"/>
      <c r="K291" s="6"/>
      <c r="L291" s="6"/>
      <c r="N291" s="6"/>
      <c r="O291" s="6"/>
      <c r="P291" s="6"/>
      <c r="R291" s="6"/>
      <c r="V291" s="7"/>
      <c r="Z291" s="6"/>
      <c r="AA291" s="6"/>
      <c r="AB291" s="5"/>
    </row>
    <row r="292" spans="1:28" ht="12.75" customHeight="1" x14ac:dyDescent="0.2">
      <c r="A292" s="6"/>
      <c r="D292" s="6"/>
      <c r="F292" s="6"/>
      <c r="G292" s="6"/>
      <c r="H292" s="6"/>
      <c r="I292" s="6"/>
      <c r="K292" s="6"/>
      <c r="L292" s="6"/>
      <c r="N292" s="6"/>
      <c r="O292" s="6"/>
      <c r="P292" s="6"/>
      <c r="R292" s="6"/>
      <c r="V292" s="7"/>
      <c r="Z292" s="6"/>
      <c r="AA292" s="6"/>
      <c r="AB292" s="5"/>
    </row>
    <row r="293" spans="1:28" ht="12.75" customHeight="1" x14ac:dyDescent="0.2">
      <c r="A293" s="6"/>
      <c r="D293" s="6"/>
      <c r="F293" s="6"/>
      <c r="G293" s="6"/>
      <c r="H293" s="6"/>
      <c r="I293" s="6"/>
      <c r="K293" s="6"/>
      <c r="L293" s="6"/>
      <c r="N293" s="6"/>
      <c r="O293" s="6"/>
      <c r="P293" s="6"/>
      <c r="R293" s="6"/>
      <c r="V293" s="7"/>
      <c r="Z293" s="6"/>
      <c r="AA293" s="6"/>
      <c r="AB293" s="5"/>
    </row>
    <row r="294" spans="1:28" ht="12.75" customHeight="1" x14ac:dyDescent="0.2">
      <c r="A294" s="6"/>
      <c r="D294" s="6"/>
      <c r="F294" s="6"/>
      <c r="G294" s="6"/>
      <c r="H294" s="6"/>
      <c r="I294" s="6"/>
      <c r="K294" s="6"/>
      <c r="L294" s="6"/>
      <c r="N294" s="6"/>
      <c r="O294" s="6"/>
      <c r="P294" s="6"/>
      <c r="R294" s="6"/>
      <c r="V294" s="7"/>
      <c r="Z294" s="6"/>
      <c r="AA294" s="6"/>
      <c r="AB294" s="5"/>
    </row>
    <row r="295" spans="1:28" ht="12.75" customHeight="1" x14ac:dyDescent="0.2">
      <c r="A295" s="6"/>
      <c r="D295" s="6"/>
      <c r="F295" s="6"/>
      <c r="G295" s="6"/>
      <c r="H295" s="6"/>
      <c r="I295" s="6"/>
      <c r="K295" s="6"/>
      <c r="L295" s="6"/>
      <c r="N295" s="6"/>
      <c r="O295" s="6"/>
      <c r="P295" s="6"/>
      <c r="R295" s="6"/>
      <c r="V295" s="7"/>
      <c r="Z295" s="6"/>
      <c r="AA295" s="6"/>
      <c r="AB295" s="5"/>
    </row>
    <row r="296" spans="1:28" ht="12.75" customHeight="1" x14ac:dyDescent="0.2">
      <c r="A296" s="6"/>
      <c r="D296" s="6"/>
      <c r="F296" s="6"/>
      <c r="G296" s="6"/>
      <c r="H296" s="6"/>
      <c r="I296" s="6"/>
      <c r="K296" s="6"/>
      <c r="L296" s="6"/>
      <c r="N296" s="6"/>
      <c r="O296" s="6"/>
      <c r="P296" s="6"/>
      <c r="R296" s="6"/>
      <c r="V296" s="7"/>
      <c r="Z296" s="6"/>
      <c r="AA296" s="6"/>
      <c r="AB296" s="5"/>
    </row>
    <row r="297" spans="1:28" ht="12.75" customHeight="1" x14ac:dyDescent="0.2">
      <c r="A297" s="6"/>
      <c r="D297" s="6"/>
      <c r="F297" s="6"/>
      <c r="G297" s="6"/>
      <c r="H297" s="6"/>
      <c r="I297" s="6"/>
      <c r="K297" s="6"/>
      <c r="L297" s="6"/>
      <c r="N297" s="6"/>
      <c r="O297" s="6"/>
      <c r="P297" s="6"/>
      <c r="R297" s="6"/>
      <c r="V297" s="7"/>
      <c r="Z297" s="6"/>
      <c r="AA297" s="6"/>
      <c r="AB297" s="5"/>
    </row>
    <row r="298" spans="1:28" ht="12.75" customHeight="1" x14ac:dyDescent="0.2">
      <c r="A298" s="6"/>
      <c r="D298" s="6"/>
      <c r="F298" s="6"/>
      <c r="G298" s="6"/>
      <c r="H298" s="6"/>
      <c r="I298" s="6"/>
      <c r="K298" s="6"/>
      <c r="L298" s="6"/>
      <c r="N298" s="6"/>
      <c r="O298" s="6"/>
      <c r="P298" s="6"/>
      <c r="R298" s="6"/>
      <c r="V298" s="7"/>
      <c r="Z298" s="6"/>
      <c r="AA298" s="6"/>
      <c r="AB298" s="5"/>
    </row>
    <row r="299" spans="1:28" ht="12.75" customHeight="1" x14ac:dyDescent="0.2">
      <c r="A299" s="6"/>
      <c r="D299" s="6"/>
      <c r="F299" s="6"/>
      <c r="G299" s="6"/>
      <c r="H299" s="6"/>
      <c r="I299" s="6"/>
      <c r="K299" s="6"/>
      <c r="L299" s="6"/>
      <c r="N299" s="6"/>
      <c r="O299" s="6"/>
      <c r="P299" s="6"/>
      <c r="R299" s="6"/>
      <c r="V299" s="7"/>
      <c r="Z299" s="6"/>
      <c r="AA299" s="6"/>
      <c r="AB299" s="5"/>
    </row>
    <row r="300" spans="1:28" ht="12.75" customHeight="1" x14ac:dyDescent="0.2">
      <c r="A300" s="6"/>
      <c r="D300" s="6"/>
      <c r="F300" s="6"/>
      <c r="G300" s="6"/>
      <c r="H300" s="6"/>
      <c r="I300" s="6"/>
      <c r="K300" s="6"/>
      <c r="L300" s="6"/>
      <c r="N300" s="6"/>
      <c r="O300" s="6"/>
      <c r="P300" s="6"/>
      <c r="R300" s="6"/>
      <c r="V300" s="7"/>
      <c r="Z300" s="6"/>
      <c r="AA300" s="6"/>
      <c r="AB300" s="5"/>
    </row>
    <row r="301" spans="1:28" ht="12.75" customHeight="1" x14ac:dyDescent="0.2">
      <c r="A301" s="6"/>
      <c r="D301" s="6"/>
      <c r="F301" s="6"/>
      <c r="G301" s="6"/>
      <c r="H301" s="6"/>
      <c r="I301" s="6"/>
      <c r="K301" s="6"/>
      <c r="L301" s="6"/>
      <c r="N301" s="6"/>
      <c r="O301" s="6"/>
      <c r="P301" s="6"/>
      <c r="R301" s="6"/>
      <c r="V301" s="7"/>
      <c r="Z301" s="6"/>
      <c r="AA301" s="6"/>
      <c r="AB301" s="5"/>
    </row>
    <row r="302" spans="1:28" ht="12.75" customHeight="1" x14ac:dyDescent="0.2">
      <c r="A302" s="6"/>
      <c r="D302" s="6"/>
      <c r="F302" s="6"/>
      <c r="G302" s="6"/>
      <c r="H302" s="6"/>
      <c r="I302" s="6"/>
      <c r="K302" s="6"/>
      <c r="L302" s="6"/>
      <c r="N302" s="6"/>
      <c r="O302" s="6"/>
      <c r="P302" s="6"/>
      <c r="R302" s="6"/>
      <c r="V302" s="7"/>
      <c r="Z302" s="6"/>
      <c r="AA302" s="6"/>
      <c r="AB302" s="5"/>
    </row>
    <row r="303" spans="1:28" ht="12.75" customHeight="1" x14ac:dyDescent="0.2">
      <c r="A303" s="6"/>
      <c r="D303" s="6"/>
      <c r="F303" s="6"/>
      <c r="G303" s="6"/>
      <c r="H303" s="6"/>
      <c r="I303" s="6"/>
      <c r="K303" s="6"/>
      <c r="L303" s="6"/>
      <c r="N303" s="6"/>
      <c r="O303" s="6"/>
      <c r="P303" s="6"/>
      <c r="R303" s="6"/>
      <c r="V303" s="7"/>
      <c r="Z303" s="6"/>
      <c r="AA303" s="6"/>
      <c r="AB303" s="5"/>
    </row>
    <row r="304" spans="1:28" ht="12.75" customHeight="1" x14ac:dyDescent="0.2">
      <c r="A304" s="6"/>
      <c r="D304" s="6"/>
      <c r="F304" s="6"/>
      <c r="G304" s="6"/>
      <c r="H304" s="6"/>
      <c r="I304" s="6"/>
      <c r="K304" s="6"/>
      <c r="L304" s="6"/>
      <c r="N304" s="6"/>
      <c r="O304" s="6"/>
      <c r="P304" s="6"/>
      <c r="R304" s="6"/>
      <c r="V304" s="7"/>
      <c r="Z304" s="6"/>
      <c r="AA304" s="6"/>
      <c r="AB304" s="5"/>
    </row>
    <row r="305" spans="1:28" ht="12.75" customHeight="1" x14ac:dyDescent="0.2">
      <c r="A305" s="6"/>
      <c r="D305" s="6"/>
      <c r="F305" s="6"/>
      <c r="G305" s="6"/>
      <c r="H305" s="6"/>
      <c r="I305" s="6"/>
      <c r="K305" s="6"/>
      <c r="L305" s="6"/>
      <c r="N305" s="6"/>
      <c r="O305" s="6"/>
      <c r="P305" s="6"/>
      <c r="R305" s="6"/>
      <c r="V305" s="7"/>
      <c r="Z305" s="6"/>
      <c r="AA305" s="6"/>
      <c r="AB305" s="5"/>
    </row>
    <row r="306" spans="1:28" ht="12.75" customHeight="1" x14ac:dyDescent="0.2">
      <c r="A306" s="6"/>
      <c r="D306" s="6"/>
      <c r="F306" s="6"/>
      <c r="G306" s="6"/>
      <c r="H306" s="6"/>
      <c r="I306" s="6"/>
      <c r="K306" s="6"/>
      <c r="L306" s="6"/>
      <c r="N306" s="6"/>
      <c r="O306" s="6"/>
      <c r="P306" s="6"/>
      <c r="R306" s="6"/>
      <c r="V306" s="7"/>
      <c r="Z306" s="6"/>
      <c r="AA306" s="6"/>
      <c r="AB306" s="5"/>
    </row>
    <row r="307" spans="1:28" ht="12.75" customHeight="1" x14ac:dyDescent="0.2">
      <c r="A307" s="6"/>
      <c r="D307" s="6"/>
      <c r="F307" s="6"/>
      <c r="G307" s="6"/>
      <c r="H307" s="6"/>
      <c r="I307" s="6"/>
      <c r="K307" s="6"/>
      <c r="L307" s="6"/>
      <c r="N307" s="6"/>
      <c r="O307" s="6"/>
      <c r="P307" s="6"/>
      <c r="R307" s="6"/>
      <c r="V307" s="7"/>
      <c r="Z307" s="6"/>
      <c r="AA307" s="6"/>
      <c r="AB307" s="5"/>
    </row>
    <row r="308" spans="1:28" ht="12.75" customHeight="1" x14ac:dyDescent="0.2">
      <c r="A308" s="6"/>
      <c r="D308" s="6"/>
      <c r="F308" s="6"/>
      <c r="G308" s="6"/>
      <c r="H308" s="6"/>
      <c r="I308" s="6"/>
      <c r="K308" s="6"/>
      <c r="L308" s="6"/>
      <c r="N308" s="6"/>
      <c r="O308" s="6"/>
      <c r="P308" s="6"/>
      <c r="R308" s="6"/>
      <c r="V308" s="7"/>
      <c r="Z308" s="6"/>
      <c r="AA308" s="6"/>
      <c r="AB308" s="5"/>
    </row>
    <row r="309" spans="1:28" ht="12.75" customHeight="1" x14ac:dyDescent="0.2">
      <c r="A309" s="6"/>
      <c r="D309" s="6"/>
      <c r="F309" s="6"/>
      <c r="G309" s="6"/>
      <c r="H309" s="6"/>
      <c r="I309" s="6"/>
      <c r="K309" s="6"/>
      <c r="L309" s="6"/>
      <c r="N309" s="6"/>
      <c r="O309" s="6"/>
      <c r="P309" s="6"/>
      <c r="R309" s="6"/>
      <c r="V309" s="7"/>
      <c r="Z309" s="6"/>
      <c r="AA309" s="6"/>
      <c r="AB309" s="5"/>
    </row>
    <row r="310" spans="1:28" ht="12.75" customHeight="1" x14ac:dyDescent="0.2">
      <c r="A310" s="6"/>
      <c r="D310" s="6"/>
      <c r="F310" s="6"/>
      <c r="G310" s="6"/>
      <c r="H310" s="6"/>
      <c r="I310" s="6"/>
      <c r="K310" s="6"/>
      <c r="L310" s="6"/>
      <c r="N310" s="6"/>
      <c r="O310" s="6"/>
      <c r="P310" s="6"/>
      <c r="R310" s="6"/>
      <c r="V310" s="7"/>
      <c r="Z310" s="6"/>
      <c r="AA310" s="6"/>
      <c r="AB310" s="5"/>
    </row>
    <row r="311" spans="1:28" ht="12.75" customHeight="1" x14ac:dyDescent="0.2">
      <c r="A311" s="6"/>
      <c r="D311" s="6"/>
      <c r="F311" s="6"/>
      <c r="G311" s="6"/>
      <c r="H311" s="6"/>
      <c r="I311" s="6"/>
      <c r="K311" s="6"/>
      <c r="L311" s="6"/>
      <c r="N311" s="6"/>
      <c r="O311" s="6"/>
      <c r="P311" s="6"/>
      <c r="R311" s="6"/>
      <c r="V311" s="7"/>
      <c r="Z311" s="6"/>
      <c r="AA311" s="6"/>
      <c r="AB311" s="5"/>
    </row>
    <row r="312" spans="1:28" ht="12.75" customHeight="1" x14ac:dyDescent="0.2">
      <c r="A312" s="6"/>
      <c r="D312" s="6"/>
      <c r="F312" s="6"/>
      <c r="G312" s="6"/>
      <c r="H312" s="6"/>
      <c r="I312" s="6"/>
      <c r="K312" s="6"/>
      <c r="L312" s="6"/>
      <c r="N312" s="6"/>
      <c r="O312" s="6"/>
      <c r="P312" s="6"/>
      <c r="R312" s="6"/>
      <c r="V312" s="7"/>
      <c r="Z312" s="6"/>
      <c r="AA312" s="6"/>
      <c r="AB312" s="5"/>
    </row>
    <row r="313" spans="1:28" ht="12.75" customHeight="1" x14ac:dyDescent="0.2">
      <c r="A313" s="6"/>
      <c r="D313" s="6"/>
      <c r="F313" s="6"/>
      <c r="G313" s="6"/>
      <c r="H313" s="6"/>
      <c r="I313" s="6"/>
      <c r="K313" s="6"/>
      <c r="L313" s="6"/>
      <c r="N313" s="6"/>
      <c r="O313" s="6"/>
      <c r="P313" s="6"/>
      <c r="R313" s="6"/>
      <c r="V313" s="7"/>
      <c r="Z313" s="6"/>
      <c r="AA313" s="6"/>
      <c r="AB313" s="5"/>
    </row>
    <row r="314" spans="1:28" ht="12.75" customHeight="1" x14ac:dyDescent="0.2">
      <c r="A314" s="6"/>
      <c r="D314" s="6"/>
      <c r="F314" s="6"/>
      <c r="G314" s="6"/>
      <c r="H314" s="6"/>
      <c r="I314" s="6"/>
      <c r="K314" s="6"/>
      <c r="L314" s="6"/>
      <c r="N314" s="6"/>
      <c r="O314" s="6"/>
      <c r="P314" s="6"/>
      <c r="R314" s="6"/>
      <c r="V314" s="7"/>
      <c r="Z314" s="6"/>
      <c r="AA314" s="6"/>
      <c r="AB314" s="5"/>
    </row>
    <row r="315" spans="1:28" ht="12.75" customHeight="1" x14ac:dyDescent="0.2">
      <c r="A315" s="6"/>
      <c r="D315" s="6"/>
      <c r="F315" s="6"/>
      <c r="G315" s="6"/>
      <c r="H315" s="6"/>
      <c r="I315" s="6"/>
      <c r="K315" s="6"/>
      <c r="L315" s="6"/>
      <c r="N315" s="6"/>
      <c r="O315" s="6"/>
      <c r="P315" s="6"/>
      <c r="R315" s="6"/>
      <c r="V315" s="7"/>
      <c r="Z315" s="6"/>
      <c r="AA315" s="6"/>
      <c r="AB315" s="5"/>
    </row>
    <row r="316" spans="1:28" ht="12.75" customHeight="1" x14ac:dyDescent="0.2">
      <c r="A316" s="6"/>
      <c r="D316" s="6"/>
      <c r="F316" s="6"/>
      <c r="G316" s="6"/>
      <c r="H316" s="6"/>
      <c r="I316" s="6"/>
      <c r="K316" s="6"/>
      <c r="L316" s="6"/>
      <c r="N316" s="6"/>
      <c r="O316" s="6"/>
      <c r="P316" s="6"/>
      <c r="R316" s="6"/>
      <c r="V316" s="7"/>
      <c r="Z316" s="6"/>
      <c r="AA316" s="6"/>
      <c r="AB316" s="5"/>
    </row>
    <row r="317" spans="1:28" ht="12.75" customHeight="1" x14ac:dyDescent="0.2">
      <c r="A317" s="6"/>
      <c r="D317" s="6"/>
      <c r="F317" s="6"/>
      <c r="G317" s="6"/>
      <c r="H317" s="6"/>
      <c r="I317" s="6"/>
      <c r="K317" s="6"/>
      <c r="L317" s="6"/>
      <c r="N317" s="6"/>
      <c r="O317" s="6"/>
      <c r="P317" s="6"/>
      <c r="R317" s="6"/>
      <c r="V317" s="7"/>
      <c r="Z317" s="6"/>
      <c r="AA317" s="6"/>
      <c r="AB317" s="5"/>
    </row>
    <row r="318" spans="1:28" ht="12.75" customHeight="1" x14ac:dyDescent="0.2">
      <c r="A318" s="6"/>
      <c r="D318" s="6"/>
      <c r="F318" s="6"/>
      <c r="G318" s="6"/>
      <c r="H318" s="6"/>
      <c r="I318" s="6"/>
      <c r="K318" s="6"/>
      <c r="L318" s="6"/>
      <c r="N318" s="6"/>
      <c r="O318" s="6"/>
      <c r="P318" s="6"/>
      <c r="R318" s="6"/>
      <c r="V318" s="7"/>
      <c r="Z318" s="6"/>
      <c r="AA318" s="6"/>
      <c r="AB318" s="5"/>
    </row>
    <row r="319" spans="1:28" ht="12.75" customHeight="1" x14ac:dyDescent="0.2">
      <c r="A319" s="6"/>
      <c r="D319" s="6"/>
      <c r="F319" s="6"/>
      <c r="G319" s="6"/>
      <c r="H319" s="6"/>
      <c r="I319" s="6"/>
      <c r="K319" s="6"/>
      <c r="L319" s="6"/>
      <c r="N319" s="6"/>
      <c r="O319" s="6"/>
      <c r="P319" s="6"/>
      <c r="R319" s="6"/>
      <c r="V319" s="7"/>
      <c r="Z319" s="6"/>
      <c r="AA319" s="6"/>
      <c r="AB319" s="5"/>
    </row>
    <row r="320" spans="1:28" ht="12.75" customHeight="1" x14ac:dyDescent="0.2">
      <c r="A320" s="6"/>
      <c r="D320" s="6"/>
      <c r="F320" s="6"/>
      <c r="G320" s="6"/>
      <c r="H320" s="6"/>
      <c r="I320" s="6"/>
      <c r="K320" s="6"/>
      <c r="L320" s="6"/>
      <c r="N320" s="6"/>
      <c r="O320" s="6"/>
      <c r="P320" s="6"/>
      <c r="R320" s="6"/>
      <c r="V320" s="7"/>
      <c r="Z320" s="6"/>
      <c r="AA320" s="6"/>
      <c r="AB320" s="5"/>
    </row>
    <row r="321" spans="1:28" ht="12.75" customHeight="1" x14ac:dyDescent="0.2">
      <c r="A321" s="6"/>
      <c r="D321" s="6"/>
      <c r="F321" s="6"/>
      <c r="G321" s="6"/>
      <c r="H321" s="6"/>
      <c r="I321" s="6"/>
      <c r="K321" s="6"/>
      <c r="L321" s="6"/>
      <c r="N321" s="6"/>
      <c r="O321" s="6"/>
      <c r="P321" s="6"/>
      <c r="R321" s="6"/>
      <c r="V321" s="7"/>
      <c r="Z321" s="6"/>
      <c r="AA321" s="6"/>
      <c r="AB321" s="5"/>
    </row>
    <row r="322" spans="1:28" ht="12.75" customHeight="1" x14ac:dyDescent="0.2">
      <c r="A322" s="6"/>
      <c r="D322" s="6"/>
      <c r="F322" s="6"/>
      <c r="G322" s="6"/>
      <c r="H322" s="6"/>
      <c r="I322" s="6"/>
      <c r="K322" s="6"/>
      <c r="L322" s="6"/>
      <c r="N322" s="6"/>
      <c r="O322" s="6"/>
      <c r="P322" s="6"/>
      <c r="R322" s="6"/>
      <c r="V322" s="7"/>
      <c r="Z322" s="6"/>
      <c r="AA322" s="6"/>
      <c r="AB322" s="5"/>
    </row>
    <row r="323" spans="1:28" ht="12.75" customHeight="1" x14ac:dyDescent="0.2">
      <c r="A323" s="6"/>
      <c r="D323" s="6"/>
      <c r="F323" s="6"/>
      <c r="G323" s="6"/>
      <c r="H323" s="6"/>
      <c r="I323" s="6"/>
      <c r="K323" s="6"/>
      <c r="L323" s="6"/>
      <c r="N323" s="6"/>
      <c r="O323" s="6"/>
      <c r="P323" s="6"/>
      <c r="R323" s="6"/>
      <c r="V323" s="7"/>
      <c r="Z323" s="6"/>
      <c r="AA323" s="6"/>
      <c r="AB323" s="5"/>
    </row>
    <row r="324" spans="1:28" ht="12.75" customHeight="1" x14ac:dyDescent="0.2">
      <c r="A324" s="6"/>
      <c r="D324" s="6"/>
      <c r="F324" s="6"/>
      <c r="G324" s="6"/>
      <c r="H324" s="6"/>
      <c r="I324" s="6"/>
      <c r="K324" s="6"/>
      <c r="L324" s="6"/>
      <c r="N324" s="6"/>
      <c r="O324" s="6"/>
      <c r="P324" s="6"/>
      <c r="R324" s="6"/>
      <c r="V324" s="7"/>
      <c r="Z324" s="6"/>
      <c r="AA324" s="6"/>
      <c r="AB324" s="5"/>
    </row>
    <row r="325" spans="1:28" ht="12.75" customHeight="1" x14ac:dyDescent="0.2">
      <c r="A325" s="6"/>
      <c r="D325" s="6"/>
      <c r="F325" s="6"/>
      <c r="G325" s="6"/>
      <c r="H325" s="6"/>
      <c r="I325" s="6"/>
      <c r="K325" s="6"/>
      <c r="L325" s="6"/>
      <c r="N325" s="6"/>
      <c r="O325" s="6"/>
      <c r="P325" s="6"/>
      <c r="R325" s="6"/>
      <c r="V325" s="7"/>
      <c r="Z325" s="6"/>
      <c r="AA325" s="6"/>
      <c r="AB325" s="5"/>
    </row>
    <row r="326" spans="1:28" ht="12.75" customHeight="1" x14ac:dyDescent="0.2">
      <c r="A326" s="6"/>
      <c r="D326" s="6"/>
      <c r="F326" s="6"/>
      <c r="G326" s="6"/>
      <c r="H326" s="6"/>
      <c r="I326" s="6"/>
      <c r="K326" s="6"/>
      <c r="L326" s="6"/>
      <c r="N326" s="6"/>
      <c r="O326" s="6"/>
      <c r="P326" s="6"/>
      <c r="R326" s="6"/>
      <c r="V326" s="7"/>
      <c r="Z326" s="6"/>
      <c r="AA326" s="6"/>
      <c r="AB326" s="5"/>
    </row>
    <row r="327" spans="1:28" ht="12.75" customHeight="1" x14ac:dyDescent="0.2">
      <c r="A327" s="6"/>
      <c r="D327" s="6"/>
      <c r="F327" s="6"/>
      <c r="G327" s="6"/>
      <c r="H327" s="6"/>
      <c r="I327" s="6"/>
      <c r="K327" s="6"/>
      <c r="L327" s="6"/>
      <c r="N327" s="6"/>
      <c r="O327" s="6"/>
      <c r="P327" s="6"/>
      <c r="R327" s="6"/>
      <c r="V327" s="7"/>
      <c r="Z327" s="6"/>
      <c r="AA327" s="6"/>
      <c r="AB327" s="5"/>
    </row>
    <row r="328" spans="1:28" ht="12.75" customHeight="1" x14ac:dyDescent="0.2">
      <c r="A328" s="6"/>
      <c r="D328" s="6"/>
      <c r="F328" s="6"/>
      <c r="G328" s="6"/>
      <c r="H328" s="6"/>
      <c r="I328" s="6"/>
      <c r="K328" s="6"/>
      <c r="L328" s="6"/>
      <c r="N328" s="6"/>
      <c r="O328" s="6"/>
      <c r="P328" s="6"/>
      <c r="R328" s="6"/>
      <c r="V328" s="7"/>
      <c r="Z328" s="6"/>
      <c r="AA328" s="6"/>
      <c r="AB328" s="5"/>
    </row>
    <row r="329" spans="1:28" ht="12.75" customHeight="1" x14ac:dyDescent="0.2">
      <c r="A329" s="6"/>
      <c r="D329" s="6"/>
      <c r="F329" s="6"/>
      <c r="G329" s="6"/>
      <c r="H329" s="6"/>
      <c r="I329" s="6"/>
      <c r="K329" s="6"/>
      <c r="L329" s="6"/>
      <c r="N329" s="6"/>
      <c r="O329" s="6"/>
      <c r="P329" s="6"/>
      <c r="R329" s="6"/>
      <c r="V329" s="7"/>
      <c r="Z329" s="6"/>
      <c r="AA329" s="6"/>
      <c r="AB329" s="5"/>
    </row>
    <row r="330" spans="1:28" ht="12.75" customHeight="1" x14ac:dyDescent="0.2">
      <c r="A330" s="6"/>
      <c r="D330" s="6"/>
      <c r="F330" s="6"/>
      <c r="G330" s="6"/>
      <c r="H330" s="6"/>
      <c r="I330" s="6"/>
      <c r="K330" s="6"/>
      <c r="L330" s="6"/>
      <c r="N330" s="6"/>
      <c r="O330" s="6"/>
      <c r="P330" s="6"/>
      <c r="R330" s="6"/>
      <c r="V330" s="7"/>
      <c r="Z330" s="6"/>
      <c r="AA330" s="6"/>
      <c r="AB330" s="5"/>
    </row>
    <row r="331" spans="1:28" ht="12.75" customHeight="1" x14ac:dyDescent="0.2">
      <c r="A331" s="6"/>
      <c r="D331" s="6"/>
      <c r="F331" s="6"/>
      <c r="G331" s="6"/>
      <c r="H331" s="6"/>
      <c r="I331" s="6"/>
      <c r="K331" s="6"/>
      <c r="L331" s="6"/>
      <c r="N331" s="6"/>
      <c r="O331" s="6"/>
      <c r="P331" s="6"/>
      <c r="R331" s="6"/>
      <c r="V331" s="7"/>
      <c r="Z331" s="6"/>
      <c r="AA331" s="6"/>
      <c r="AB331" s="5"/>
    </row>
    <row r="332" spans="1:28" ht="12.75" customHeight="1" x14ac:dyDescent="0.2">
      <c r="A332" s="6"/>
      <c r="D332" s="6"/>
      <c r="F332" s="6"/>
      <c r="G332" s="6"/>
      <c r="H332" s="6"/>
      <c r="I332" s="6"/>
      <c r="K332" s="6"/>
      <c r="L332" s="6"/>
      <c r="N332" s="6"/>
      <c r="O332" s="6"/>
      <c r="P332" s="6"/>
      <c r="R332" s="6"/>
      <c r="V332" s="7"/>
      <c r="Z332" s="6"/>
      <c r="AA332" s="6"/>
      <c r="AB332" s="5"/>
    </row>
    <row r="333" spans="1:28" ht="12.75" customHeight="1" x14ac:dyDescent="0.2">
      <c r="A333" s="6"/>
      <c r="D333" s="6"/>
      <c r="F333" s="6"/>
      <c r="G333" s="6"/>
      <c r="H333" s="6"/>
      <c r="I333" s="6"/>
      <c r="K333" s="6"/>
      <c r="L333" s="6"/>
      <c r="N333" s="6"/>
      <c r="O333" s="6"/>
      <c r="P333" s="6"/>
      <c r="R333" s="6"/>
      <c r="V333" s="7"/>
      <c r="Z333" s="6"/>
      <c r="AA333" s="6"/>
      <c r="AB333" s="5"/>
    </row>
    <row r="334" spans="1:28" ht="12.75" customHeight="1" x14ac:dyDescent="0.2">
      <c r="A334" s="6"/>
      <c r="D334" s="6"/>
      <c r="F334" s="6"/>
      <c r="G334" s="6"/>
      <c r="H334" s="6"/>
      <c r="I334" s="6"/>
      <c r="K334" s="6"/>
      <c r="L334" s="6"/>
      <c r="N334" s="6"/>
      <c r="O334" s="6"/>
      <c r="P334" s="6"/>
      <c r="R334" s="6"/>
      <c r="V334" s="7"/>
      <c r="Z334" s="6"/>
      <c r="AA334" s="6"/>
      <c r="AB334" s="5"/>
    </row>
    <row r="335" spans="1:28" ht="12.75" customHeight="1" x14ac:dyDescent="0.2">
      <c r="A335" s="6"/>
      <c r="D335" s="6"/>
      <c r="F335" s="6"/>
      <c r="G335" s="6"/>
      <c r="H335" s="6"/>
      <c r="I335" s="6"/>
      <c r="K335" s="6"/>
      <c r="L335" s="6"/>
      <c r="N335" s="6"/>
      <c r="O335" s="6"/>
      <c r="P335" s="6"/>
      <c r="R335" s="6"/>
      <c r="V335" s="7"/>
      <c r="Z335" s="6"/>
      <c r="AA335" s="6"/>
      <c r="AB335" s="5"/>
    </row>
    <row r="336" spans="1:28" ht="12.75" customHeight="1" x14ac:dyDescent="0.2">
      <c r="A336" s="6"/>
      <c r="D336" s="6"/>
      <c r="F336" s="6"/>
      <c r="G336" s="6"/>
      <c r="H336" s="6"/>
      <c r="I336" s="6"/>
      <c r="K336" s="6"/>
      <c r="L336" s="6"/>
      <c r="N336" s="6"/>
      <c r="O336" s="6"/>
      <c r="P336" s="6"/>
      <c r="R336" s="6"/>
      <c r="V336" s="7"/>
      <c r="Z336" s="6"/>
      <c r="AA336" s="6"/>
      <c r="AB336" s="5"/>
    </row>
    <row r="337" spans="1:28" ht="12.75" customHeight="1" x14ac:dyDescent="0.2">
      <c r="A337" s="6"/>
      <c r="D337" s="6"/>
      <c r="F337" s="6"/>
      <c r="G337" s="6"/>
      <c r="H337" s="6"/>
      <c r="I337" s="6"/>
      <c r="K337" s="6"/>
      <c r="L337" s="6"/>
      <c r="N337" s="6"/>
      <c r="O337" s="6"/>
      <c r="P337" s="6"/>
      <c r="R337" s="6"/>
      <c r="V337" s="7"/>
      <c r="Z337" s="6"/>
      <c r="AA337" s="6"/>
      <c r="AB337" s="5"/>
    </row>
    <row r="338" spans="1:28" ht="12.75" customHeight="1" x14ac:dyDescent="0.2">
      <c r="A338" s="6"/>
      <c r="D338" s="6"/>
      <c r="F338" s="6"/>
      <c r="G338" s="6"/>
      <c r="H338" s="6"/>
      <c r="I338" s="6"/>
      <c r="K338" s="6"/>
      <c r="L338" s="6"/>
      <c r="N338" s="6"/>
      <c r="O338" s="6"/>
      <c r="P338" s="6"/>
      <c r="R338" s="6"/>
      <c r="V338" s="7"/>
      <c r="Z338" s="6"/>
      <c r="AA338" s="6"/>
      <c r="AB338" s="5"/>
    </row>
    <row r="339" spans="1:28" ht="12.75" customHeight="1" x14ac:dyDescent="0.2">
      <c r="A339" s="6"/>
      <c r="D339" s="6"/>
      <c r="F339" s="6"/>
      <c r="G339" s="6"/>
      <c r="H339" s="6"/>
      <c r="I339" s="6"/>
      <c r="K339" s="6"/>
      <c r="L339" s="6"/>
      <c r="N339" s="6"/>
      <c r="O339" s="6"/>
      <c r="P339" s="6"/>
      <c r="R339" s="6"/>
      <c r="V339" s="7"/>
      <c r="Z339" s="6"/>
      <c r="AA339" s="6"/>
      <c r="AB339" s="5"/>
    </row>
    <row r="340" spans="1:28" ht="12.75" customHeight="1" x14ac:dyDescent="0.2">
      <c r="A340" s="6"/>
      <c r="D340" s="6"/>
      <c r="F340" s="6"/>
      <c r="G340" s="6"/>
      <c r="H340" s="6"/>
      <c r="I340" s="6"/>
      <c r="K340" s="6"/>
      <c r="L340" s="6"/>
      <c r="N340" s="6"/>
      <c r="O340" s="6"/>
      <c r="P340" s="6"/>
      <c r="R340" s="6"/>
      <c r="V340" s="7"/>
      <c r="Z340" s="6"/>
      <c r="AA340" s="6"/>
      <c r="AB340" s="5"/>
    </row>
    <row r="341" spans="1:28" ht="12.75" customHeight="1" x14ac:dyDescent="0.2">
      <c r="A341" s="6"/>
      <c r="D341" s="6"/>
      <c r="F341" s="6"/>
      <c r="G341" s="6"/>
      <c r="H341" s="6"/>
      <c r="I341" s="6"/>
      <c r="K341" s="6"/>
      <c r="L341" s="6"/>
      <c r="N341" s="6"/>
      <c r="O341" s="6"/>
      <c r="P341" s="6"/>
      <c r="R341" s="6"/>
      <c r="V341" s="7"/>
      <c r="Z341" s="6"/>
      <c r="AA341" s="6"/>
      <c r="AB341" s="5"/>
    </row>
    <row r="342" spans="1:28" ht="12.75" customHeight="1" x14ac:dyDescent="0.2">
      <c r="A342" s="6"/>
      <c r="D342" s="6"/>
      <c r="F342" s="6"/>
      <c r="G342" s="6"/>
      <c r="H342" s="6"/>
      <c r="I342" s="6"/>
      <c r="K342" s="6"/>
      <c r="L342" s="6"/>
      <c r="N342" s="6"/>
      <c r="O342" s="6"/>
      <c r="P342" s="6"/>
      <c r="R342" s="6"/>
      <c r="V342" s="7"/>
      <c r="Z342" s="6"/>
      <c r="AA342" s="6"/>
      <c r="AB342" s="5"/>
    </row>
    <row r="343" spans="1:28" ht="12.75" customHeight="1" x14ac:dyDescent="0.2">
      <c r="A343" s="6"/>
      <c r="D343" s="6"/>
      <c r="F343" s="6"/>
      <c r="G343" s="6"/>
      <c r="H343" s="6"/>
      <c r="I343" s="6"/>
      <c r="K343" s="6"/>
      <c r="L343" s="6"/>
      <c r="N343" s="6"/>
      <c r="O343" s="6"/>
      <c r="P343" s="6"/>
      <c r="R343" s="6"/>
      <c r="V343" s="7"/>
      <c r="Z343" s="6"/>
      <c r="AA343" s="6"/>
      <c r="AB343" s="5"/>
    </row>
    <row r="344" spans="1:28" ht="12.75" customHeight="1" x14ac:dyDescent="0.2">
      <c r="A344" s="6"/>
      <c r="D344" s="6"/>
      <c r="F344" s="6"/>
      <c r="G344" s="6"/>
      <c r="H344" s="6"/>
      <c r="I344" s="6"/>
      <c r="K344" s="6"/>
      <c r="L344" s="6"/>
      <c r="N344" s="6"/>
      <c r="O344" s="6"/>
      <c r="P344" s="6"/>
      <c r="R344" s="6"/>
      <c r="V344" s="7"/>
      <c r="Z344" s="6"/>
      <c r="AA344" s="6"/>
      <c r="AB344" s="5"/>
    </row>
    <row r="345" spans="1:28" ht="12.75" customHeight="1" x14ac:dyDescent="0.2">
      <c r="A345" s="6"/>
      <c r="D345" s="6"/>
      <c r="F345" s="6"/>
      <c r="G345" s="6"/>
      <c r="H345" s="6"/>
      <c r="I345" s="6"/>
      <c r="K345" s="6"/>
      <c r="L345" s="6"/>
      <c r="N345" s="6"/>
      <c r="O345" s="6"/>
      <c r="P345" s="6"/>
      <c r="R345" s="6"/>
      <c r="V345" s="7"/>
      <c r="Z345" s="6"/>
      <c r="AA345" s="6"/>
      <c r="AB345" s="5"/>
    </row>
    <row r="346" spans="1:28" ht="12.75" customHeight="1" x14ac:dyDescent="0.2">
      <c r="A346" s="6"/>
      <c r="D346" s="6"/>
      <c r="F346" s="6"/>
      <c r="G346" s="6"/>
      <c r="H346" s="6"/>
      <c r="I346" s="6"/>
      <c r="K346" s="6"/>
      <c r="L346" s="6"/>
      <c r="N346" s="6"/>
      <c r="O346" s="6"/>
      <c r="P346" s="6"/>
      <c r="R346" s="6"/>
      <c r="V346" s="7"/>
      <c r="Z346" s="6"/>
      <c r="AA346" s="6"/>
      <c r="AB346" s="5"/>
    </row>
    <row r="347" spans="1:28" ht="12.75" customHeight="1" x14ac:dyDescent="0.2">
      <c r="A347" s="6"/>
      <c r="D347" s="6"/>
      <c r="F347" s="6"/>
      <c r="G347" s="6"/>
      <c r="H347" s="6"/>
      <c r="I347" s="6"/>
      <c r="K347" s="6"/>
      <c r="L347" s="6"/>
      <c r="N347" s="6"/>
      <c r="O347" s="6"/>
      <c r="P347" s="6"/>
      <c r="R347" s="6"/>
      <c r="V347" s="7"/>
      <c r="Z347" s="6"/>
      <c r="AA347" s="6"/>
      <c r="AB347" s="5"/>
    </row>
    <row r="348" spans="1:28" ht="12.75" customHeight="1" x14ac:dyDescent="0.2">
      <c r="A348" s="6"/>
      <c r="D348" s="6"/>
      <c r="F348" s="6"/>
      <c r="G348" s="6"/>
      <c r="H348" s="6"/>
      <c r="I348" s="6"/>
      <c r="K348" s="6"/>
      <c r="L348" s="6"/>
      <c r="N348" s="6"/>
      <c r="O348" s="6"/>
      <c r="P348" s="6"/>
      <c r="R348" s="6"/>
      <c r="V348" s="7"/>
      <c r="Z348" s="6"/>
      <c r="AA348" s="6"/>
      <c r="AB348" s="5"/>
    </row>
    <row r="349" spans="1:28" ht="12.75" customHeight="1" x14ac:dyDescent="0.2">
      <c r="A349" s="6"/>
      <c r="D349" s="6"/>
      <c r="F349" s="6"/>
      <c r="G349" s="6"/>
      <c r="H349" s="6"/>
      <c r="I349" s="6"/>
      <c r="K349" s="6"/>
      <c r="L349" s="6"/>
      <c r="N349" s="6"/>
      <c r="O349" s="6"/>
      <c r="P349" s="6"/>
      <c r="R349" s="6"/>
      <c r="V349" s="7"/>
      <c r="Z349" s="6"/>
      <c r="AA349" s="6"/>
      <c r="AB349" s="5"/>
    </row>
    <row r="350" spans="1:28" ht="12.75" customHeight="1" x14ac:dyDescent="0.2">
      <c r="A350" s="6"/>
      <c r="D350" s="6"/>
      <c r="F350" s="6"/>
      <c r="G350" s="6"/>
      <c r="H350" s="6"/>
      <c r="I350" s="6"/>
      <c r="K350" s="6"/>
      <c r="L350" s="6"/>
      <c r="N350" s="6"/>
      <c r="O350" s="6"/>
      <c r="P350" s="6"/>
      <c r="R350" s="6"/>
      <c r="V350" s="7"/>
      <c r="Z350" s="6"/>
      <c r="AA350" s="6"/>
      <c r="AB350" s="5"/>
    </row>
    <row r="351" spans="1:28" ht="12.75" customHeight="1" x14ac:dyDescent="0.2">
      <c r="A351" s="6"/>
      <c r="D351" s="6"/>
      <c r="F351" s="6"/>
      <c r="G351" s="6"/>
      <c r="H351" s="6"/>
      <c r="I351" s="6"/>
      <c r="K351" s="6"/>
      <c r="L351" s="6"/>
      <c r="N351" s="6"/>
      <c r="O351" s="6"/>
      <c r="P351" s="6"/>
      <c r="R351" s="6"/>
      <c r="V351" s="7"/>
      <c r="Z351" s="6"/>
      <c r="AA351" s="6"/>
      <c r="AB351" s="5"/>
    </row>
    <row r="352" spans="1:28" ht="12.75" customHeight="1" x14ac:dyDescent="0.2">
      <c r="A352" s="6"/>
      <c r="D352" s="6"/>
      <c r="F352" s="6"/>
      <c r="G352" s="6"/>
      <c r="H352" s="6"/>
      <c r="I352" s="6"/>
      <c r="K352" s="6"/>
      <c r="L352" s="6"/>
      <c r="N352" s="6"/>
      <c r="O352" s="6"/>
      <c r="P352" s="6"/>
      <c r="R352" s="6"/>
      <c r="V352" s="7"/>
      <c r="Z352" s="6"/>
      <c r="AA352" s="6"/>
      <c r="AB352" s="5"/>
    </row>
    <row r="353" spans="1:28" ht="12.75" customHeight="1" x14ac:dyDescent="0.2">
      <c r="A353" s="6"/>
      <c r="D353" s="6"/>
      <c r="F353" s="6"/>
      <c r="G353" s="6"/>
      <c r="H353" s="6"/>
      <c r="I353" s="6"/>
      <c r="K353" s="6"/>
      <c r="L353" s="6"/>
      <c r="N353" s="6"/>
      <c r="O353" s="6"/>
      <c r="P353" s="6"/>
      <c r="R353" s="6"/>
      <c r="V353" s="7"/>
      <c r="Z353" s="6"/>
      <c r="AA353" s="6"/>
      <c r="AB353" s="5"/>
    </row>
    <row r="354" spans="1:28" ht="12.75" customHeight="1" x14ac:dyDescent="0.2">
      <c r="A354" s="6"/>
      <c r="D354" s="6"/>
      <c r="F354" s="6"/>
      <c r="G354" s="6"/>
      <c r="H354" s="6"/>
      <c r="I354" s="6"/>
      <c r="K354" s="6"/>
      <c r="L354" s="6"/>
      <c r="N354" s="6"/>
      <c r="O354" s="6"/>
      <c r="P354" s="6"/>
      <c r="R354" s="6"/>
      <c r="V354" s="7"/>
      <c r="Z354" s="6"/>
      <c r="AA354" s="6"/>
      <c r="AB354" s="5"/>
    </row>
    <row r="355" spans="1:28" ht="12.75" customHeight="1" x14ac:dyDescent="0.2">
      <c r="A355" s="6"/>
      <c r="D355" s="6"/>
      <c r="F355" s="6"/>
      <c r="G355" s="6"/>
      <c r="H355" s="6"/>
      <c r="I355" s="6"/>
      <c r="K355" s="6"/>
      <c r="L355" s="6"/>
      <c r="N355" s="6"/>
      <c r="O355" s="6"/>
      <c r="P355" s="6"/>
      <c r="R355" s="6"/>
      <c r="V355" s="7"/>
      <c r="Z355" s="6"/>
      <c r="AA355" s="6"/>
      <c r="AB355" s="5"/>
    </row>
    <row r="356" spans="1:28" ht="12.75" customHeight="1" x14ac:dyDescent="0.2">
      <c r="A356" s="6"/>
      <c r="D356" s="6"/>
      <c r="F356" s="6"/>
      <c r="G356" s="6"/>
      <c r="H356" s="6"/>
      <c r="I356" s="6"/>
      <c r="K356" s="6"/>
      <c r="L356" s="6"/>
      <c r="N356" s="6"/>
      <c r="O356" s="6"/>
      <c r="P356" s="6"/>
      <c r="R356" s="6"/>
      <c r="V356" s="7"/>
      <c r="Z356" s="6"/>
      <c r="AA356" s="6"/>
      <c r="AB356" s="5"/>
    </row>
    <row r="357" spans="1:28" ht="12.75" customHeight="1" x14ac:dyDescent="0.2">
      <c r="A357" s="6"/>
      <c r="D357" s="6"/>
      <c r="F357" s="6"/>
      <c r="G357" s="6"/>
      <c r="H357" s="6"/>
      <c r="I357" s="6"/>
      <c r="K357" s="6"/>
      <c r="L357" s="6"/>
      <c r="N357" s="6"/>
      <c r="O357" s="6"/>
      <c r="P357" s="6"/>
      <c r="R357" s="6"/>
      <c r="V357" s="7"/>
      <c r="Z357" s="6"/>
      <c r="AA357" s="6"/>
      <c r="AB357" s="5"/>
    </row>
    <row r="358" spans="1:28" ht="12.75" customHeight="1" x14ac:dyDescent="0.2">
      <c r="A358" s="6"/>
      <c r="D358" s="6"/>
      <c r="F358" s="6"/>
      <c r="G358" s="6"/>
      <c r="H358" s="6"/>
      <c r="I358" s="6"/>
      <c r="K358" s="6"/>
      <c r="L358" s="6"/>
      <c r="N358" s="6"/>
      <c r="O358" s="6"/>
      <c r="P358" s="6"/>
      <c r="R358" s="6"/>
      <c r="V358" s="7"/>
      <c r="Z358" s="6"/>
      <c r="AA358" s="6"/>
      <c r="AB358" s="5"/>
    </row>
    <row r="359" spans="1:28" ht="12.75" customHeight="1" x14ac:dyDescent="0.2">
      <c r="A359" s="6"/>
      <c r="D359" s="6"/>
      <c r="F359" s="6"/>
      <c r="G359" s="6"/>
      <c r="H359" s="6"/>
      <c r="I359" s="6"/>
      <c r="K359" s="6"/>
      <c r="L359" s="6"/>
      <c r="N359" s="6"/>
      <c r="O359" s="6"/>
      <c r="P359" s="6"/>
      <c r="R359" s="6"/>
      <c r="V359" s="7"/>
      <c r="Z359" s="6"/>
      <c r="AA359" s="6"/>
      <c r="AB359" s="5"/>
    </row>
    <row r="360" spans="1:28" ht="12.75" customHeight="1" x14ac:dyDescent="0.2">
      <c r="A360" s="6"/>
      <c r="D360" s="6"/>
      <c r="F360" s="6"/>
      <c r="G360" s="6"/>
      <c r="H360" s="6"/>
      <c r="I360" s="6"/>
      <c r="K360" s="6"/>
      <c r="L360" s="6"/>
      <c r="N360" s="6"/>
      <c r="O360" s="6"/>
      <c r="P360" s="6"/>
      <c r="R360" s="6"/>
      <c r="V360" s="7"/>
      <c r="Z360" s="6"/>
      <c r="AA360" s="6"/>
      <c r="AB360" s="5"/>
    </row>
    <row r="361" spans="1:28" ht="12.75" customHeight="1" x14ac:dyDescent="0.2">
      <c r="A361" s="6"/>
      <c r="D361" s="6"/>
      <c r="F361" s="6"/>
      <c r="G361" s="6"/>
      <c r="H361" s="6"/>
      <c r="I361" s="6"/>
      <c r="K361" s="6"/>
      <c r="L361" s="6"/>
      <c r="N361" s="6"/>
      <c r="O361" s="6"/>
      <c r="P361" s="6"/>
      <c r="R361" s="6"/>
      <c r="V361" s="7"/>
      <c r="Z361" s="6"/>
      <c r="AA361" s="6"/>
      <c r="AB361" s="5"/>
    </row>
    <row r="362" spans="1:28" ht="12.75" customHeight="1" x14ac:dyDescent="0.2">
      <c r="A362" s="6"/>
      <c r="D362" s="6"/>
      <c r="F362" s="6"/>
      <c r="G362" s="6"/>
      <c r="H362" s="6"/>
      <c r="I362" s="6"/>
      <c r="K362" s="6"/>
      <c r="L362" s="6"/>
      <c r="N362" s="6"/>
      <c r="O362" s="6"/>
      <c r="P362" s="6"/>
      <c r="R362" s="6"/>
      <c r="V362" s="7"/>
      <c r="Z362" s="6"/>
      <c r="AA362" s="6"/>
      <c r="AB362" s="5"/>
    </row>
    <row r="363" spans="1:28" ht="12.75" customHeight="1" x14ac:dyDescent="0.2">
      <c r="A363" s="6"/>
      <c r="D363" s="6"/>
      <c r="F363" s="6"/>
      <c r="G363" s="6"/>
      <c r="H363" s="6"/>
      <c r="I363" s="6"/>
      <c r="K363" s="6"/>
      <c r="L363" s="6"/>
      <c r="N363" s="6"/>
      <c r="O363" s="6"/>
      <c r="P363" s="6"/>
      <c r="R363" s="6"/>
      <c r="V363" s="7"/>
      <c r="Z363" s="6"/>
      <c r="AA363" s="6"/>
      <c r="AB363" s="5"/>
    </row>
    <row r="364" spans="1:28" ht="12.75" customHeight="1" x14ac:dyDescent="0.2">
      <c r="A364" s="6"/>
      <c r="D364" s="6"/>
      <c r="F364" s="6"/>
      <c r="G364" s="6"/>
      <c r="H364" s="6"/>
      <c r="I364" s="6"/>
      <c r="K364" s="6"/>
      <c r="L364" s="6"/>
      <c r="N364" s="6"/>
      <c r="O364" s="6"/>
      <c r="P364" s="6"/>
      <c r="R364" s="6"/>
      <c r="V364" s="7"/>
      <c r="Z364" s="6"/>
      <c r="AA364" s="6"/>
      <c r="AB364" s="5"/>
    </row>
    <row r="365" spans="1:28" ht="12.75" customHeight="1" x14ac:dyDescent="0.2">
      <c r="A365" s="6"/>
      <c r="D365" s="6"/>
      <c r="F365" s="6"/>
      <c r="G365" s="6"/>
      <c r="H365" s="6"/>
      <c r="I365" s="6"/>
      <c r="K365" s="6"/>
      <c r="L365" s="6"/>
      <c r="N365" s="6"/>
      <c r="O365" s="6"/>
      <c r="P365" s="6"/>
      <c r="R365" s="6"/>
      <c r="V365" s="7"/>
      <c r="Z365" s="6"/>
      <c r="AA365" s="6"/>
      <c r="AB365" s="5"/>
    </row>
    <row r="366" spans="1:28" ht="12.75" customHeight="1" x14ac:dyDescent="0.2">
      <c r="A366" s="6"/>
      <c r="D366" s="6"/>
      <c r="F366" s="6"/>
      <c r="G366" s="6"/>
      <c r="H366" s="6"/>
      <c r="I366" s="6"/>
      <c r="K366" s="6"/>
      <c r="L366" s="6"/>
      <c r="N366" s="6"/>
      <c r="O366" s="6"/>
      <c r="P366" s="6"/>
      <c r="R366" s="6"/>
      <c r="V366" s="7"/>
      <c r="Z366" s="6"/>
      <c r="AA366" s="6"/>
      <c r="AB366" s="5"/>
    </row>
    <row r="367" spans="1:28" ht="12.75" customHeight="1" x14ac:dyDescent="0.2">
      <c r="A367" s="6"/>
      <c r="D367" s="6"/>
      <c r="F367" s="6"/>
      <c r="G367" s="6"/>
      <c r="H367" s="6"/>
      <c r="I367" s="6"/>
      <c r="K367" s="6"/>
      <c r="L367" s="6"/>
      <c r="N367" s="6"/>
      <c r="O367" s="6"/>
      <c r="P367" s="6"/>
      <c r="R367" s="6"/>
      <c r="V367" s="7"/>
      <c r="Z367" s="6"/>
      <c r="AA367" s="6"/>
      <c r="AB367" s="5"/>
    </row>
    <row r="368" spans="1:28" ht="12.75" customHeight="1" x14ac:dyDescent="0.2">
      <c r="A368" s="6"/>
      <c r="D368" s="6"/>
      <c r="F368" s="6"/>
      <c r="G368" s="6"/>
      <c r="H368" s="6"/>
      <c r="I368" s="6"/>
      <c r="K368" s="6"/>
      <c r="L368" s="6"/>
      <c r="N368" s="6"/>
      <c r="O368" s="6"/>
      <c r="P368" s="6"/>
      <c r="R368" s="6"/>
      <c r="V368" s="7"/>
      <c r="Z368" s="6"/>
      <c r="AA368" s="6"/>
      <c r="AB368" s="5"/>
    </row>
    <row r="369" spans="1:28" ht="12.75" customHeight="1" x14ac:dyDescent="0.2">
      <c r="A369" s="6"/>
      <c r="D369" s="6"/>
      <c r="F369" s="6"/>
      <c r="G369" s="6"/>
      <c r="H369" s="6"/>
      <c r="I369" s="6"/>
      <c r="K369" s="6"/>
      <c r="L369" s="6"/>
      <c r="N369" s="6"/>
      <c r="O369" s="6"/>
      <c r="P369" s="6"/>
      <c r="R369" s="6"/>
      <c r="V369" s="7"/>
      <c r="Z369" s="6"/>
      <c r="AA369" s="6"/>
      <c r="AB369" s="5"/>
    </row>
    <row r="370" spans="1:28" ht="12.75" customHeight="1" x14ac:dyDescent="0.2">
      <c r="A370" s="6"/>
      <c r="D370" s="6"/>
      <c r="F370" s="6"/>
      <c r="G370" s="6"/>
      <c r="H370" s="6"/>
      <c r="I370" s="6"/>
      <c r="K370" s="6"/>
      <c r="L370" s="6"/>
      <c r="N370" s="6"/>
      <c r="O370" s="6"/>
      <c r="P370" s="6"/>
      <c r="R370" s="6"/>
      <c r="V370" s="7"/>
      <c r="Z370" s="6"/>
      <c r="AA370" s="6"/>
      <c r="AB370" s="5"/>
    </row>
    <row r="371" spans="1:28" ht="12.75" customHeight="1" x14ac:dyDescent="0.2">
      <c r="A371" s="6"/>
      <c r="D371" s="6"/>
      <c r="F371" s="6"/>
      <c r="G371" s="6"/>
      <c r="H371" s="6"/>
      <c r="I371" s="6"/>
      <c r="K371" s="6"/>
      <c r="L371" s="6"/>
      <c r="N371" s="6"/>
      <c r="O371" s="6"/>
      <c r="P371" s="6"/>
      <c r="R371" s="6"/>
      <c r="V371" s="7"/>
      <c r="Z371" s="6"/>
      <c r="AA371" s="6"/>
      <c r="AB371" s="5"/>
    </row>
    <row r="372" spans="1:28" ht="12.75" customHeight="1" x14ac:dyDescent="0.2">
      <c r="A372" s="6"/>
      <c r="D372" s="6"/>
      <c r="F372" s="6"/>
      <c r="G372" s="6"/>
      <c r="H372" s="6"/>
      <c r="I372" s="6"/>
      <c r="K372" s="6"/>
      <c r="L372" s="6"/>
      <c r="N372" s="6"/>
      <c r="O372" s="6"/>
      <c r="P372" s="6"/>
      <c r="R372" s="6"/>
      <c r="V372" s="7"/>
      <c r="Z372" s="6"/>
      <c r="AA372" s="6"/>
      <c r="AB372" s="5"/>
    </row>
    <row r="373" spans="1:28" ht="12.75" customHeight="1" x14ac:dyDescent="0.2">
      <c r="A373" s="6"/>
      <c r="D373" s="6"/>
      <c r="F373" s="6"/>
      <c r="G373" s="6"/>
      <c r="H373" s="6"/>
      <c r="I373" s="6"/>
      <c r="K373" s="6"/>
      <c r="L373" s="6"/>
      <c r="N373" s="6"/>
      <c r="O373" s="6"/>
      <c r="P373" s="6"/>
      <c r="R373" s="6"/>
      <c r="V373" s="7"/>
      <c r="Z373" s="6"/>
      <c r="AA373" s="6"/>
      <c r="AB373" s="5"/>
    </row>
    <row r="374" spans="1:28" ht="12.75" customHeight="1" x14ac:dyDescent="0.2">
      <c r="A374" s="6"/>
      <c r="D374" s="6"/>
      <c r="F374" s="6"/>
      <c r="G374" s="6"/>
      <c r="H374" s="6"/>
      <c r="I374" s="6"/>
      <c r="K374" s="6"/>
      <c r="L374" s="6"/>
      <c r="N374" s="6"/>
      <c r="O374" s="6"/>
      <c r="P374" s="6"/>
      <c r="R374" s="6"/>
      <c r="V374" s="7"/>
      <c r="Z374" s="6"/>
      <c r="AA374" s="6"/>
      <c r="AB374" s="5"/>
    </row>
    <row r="375" spans="1:28" ht="12.75" customHeight="1" x14ac:dyDescent="0.2">
      <c r="A375" s="6"/>
      <c r="D375" s="6"/>
      <c r="F375" s="6"/>
      <c r="G375" s="6"/>
      <c r="H375" s="6"/>
      <c r="I375" s="6"/>
      <c r="K375" s="6"/>
      <c r="L375" s="6"/>
      <c r="N375" s="6"/>
      <c r="O375" s="6"/>
      <c r="P375" s="6"/>
      <c r="R375" s="6"/>
      <c r="V375" s="7"/>
      <c r="Z375" s="6"/>
      <c r="AA375" s="6"/>
      <c r="AB375" s="5"/>
    </row>
    <row r="376" spans="1:28" ht="12.75" customHeight="1" x14ac:dyDescent="0.2">
      <c r="A376" s="6"/>
      <c r="D376" s="6"/>
      <c r="F376" s="6"/>
      <c r="G376" s="6"/>
      <c r="H376" s="6"/>
      <c r="I376" s="6"/>
      <c r="K376" s="6"/>
      <c r="L376" s="6"/>
      <c r="N376" s="6"/>
      <c r="O376" s="6"/>
      <c r="P376" s="6"/>
      <c r="R376" s="6"/>
      <c r="V376" s="7"/>
      <c r="Z376" s="6"/>
      <c r="AA376" s="6"/>
      <c r="AB376" s="5"/>
    </row>
    <row r="377" spans="1:28" ht="12.75" customHeight="1" x14ac:dyDescent="0.2">
      <c r="A377" s="6"/>
      <c r="D377" s="6"/>
      <c r="F377" s="6"/>
      <c r="G377" s="6"/>
      <c r="H377" s="6"/>
      <c r="I377" s="6"/>
      <c r="K377" s="6"/>
      <c r="L377" s="6"/>
      <c r="N377" s="6"/>
      <c r="O377" s="6"/>
      <c r="P377" s="6"/>
      <c r="R377" s="6"/>
      <c r="V377" s="7"/>
      <c r="Z377" s="6"/>
      <c r="AA377" s="6"/>
      <c r="AB377" s="5"/>
    </row>
    <row r="378" spans="1:28" ht="12.75" customHeight="1" x14ac:dyDescent="0.2">
      <c r="A378" s="6"/>
      <c r="D378" s="6"/>
      <c r="F378" s="6"/>
      <c r="G378" s="6"/>
      <c r="H378" s="6"/>
      <c r="I378" s="6"/>
      <c r="K378" s="6"/>
      <c r="L378" s="6"/>
      <c r="N378" s="6"/>
      <c r="O378" s="6"/>
      <c r="P378" s="6"/>
      <c r="R378" s="6"/>
      <c r="V378" s="7"/>
      <c r="Z378" s="6"/>
      <c r="AA378" s="6"/>
      <c r="AB378" s="5"/>
    </row>
    <row r="379" spans="1:28" ht="12.75" customHeight="1" x14ac:dyDescent="0.2">
      <c r="A379" s="6"/>
      <c r="D379" s="6"/>
      <c r="F379" s="6"/>
      <c r="G379" s="6"/>
      <c r="H379" s="6"/>
      <c r="I379" s="6"/>
      <c r="K379" s="6"/>
      <c r="L379" s="6"/>
      <c r="N379" s="6"/>
      <c r="O379" s="6"/>
      <c r="P379" s="6"/>
      <c r="R379" s="6"/>
      <c r="V379" s="7"/>
      <c r="Z379" s="6"/>
      <c r="AA379" s="6"/>
      <c r="AB379" s="5"/>
    </row>
    <row r="380" spans="1:28" ht="12.75" customHeight="1" x14ac:dyDescent="0.2">
      <c r="A380" s="6"/>
      <c r="D380" s="6"/>
      <c r="F380" s="6"/>
      <c r="G380" s="6"/>
      <c r="H380" s="6"/>
      <c r="I380" s="6"/>
      <c r="K380" s="6"/>
      <c r="L380" s="6"/>
      <c r="N380" s="6"/>
      <c r="O380" s="6"/>
      <c r="P380" s="6"/>
      <c r="R380" s="6"/>
      <c r="V380" s="7"/>
      <c r="Z380" s="6"/>
      <c r="AA380" s="6"/>
      <c r="AB380" s="5"/>
    </row>
    <row r="381" spans="1:28" ht="12.75" customHeight="1" x14ac:dyDescent="0.2">
      <c r="A381" s="6"/>
      <c r="D381" s="6"/>
      <c r="F381" s="6"/>
      <c r="G381" s="6"/>
      <c r="H381" s="6"/>
      <c r="I381" s="6"/>
      <c r="K381" s="6"/>
      <c r="L381" s="6"/>
      <c r="N381" s="6"/>
      <c r="O381" s="6"/>
      <c r="P381" s="6"/>
      <c r="R381" s="6"/>
      <c r="V381" s="7"/>
      <c r="Z381" s="6"/>
      <c r="AA381" s="6"/>
      <c r="AB381" s="5"/>
    </row>
    <row r="382" spans="1:28" ht="12.75" customHeight="1" x14ac:dyDescent="0.2">
      <c r="A382" s="6"/>
      <c r="D382" s="6"/>
      <c r="F382" s="6"/>
      <c r="G382" s="6"/>
      <c r="H382" s="6"/>
      <c r="I382" s="6"/>
      <c r="K382" s="6"/>
      <c r="L382" s="6"/>
      <c r="N382" s="6"/>
      <c r="O382" s="6"/>
      <c r="P382" s="6"/>
      <c r="R382" s="6"/>
      <c r="V382" s="7"/>
      <c r="Z382" s="6"/>
      <c r="AA382" s="6"/>
      <c r="AB382" s="5"/>
    </row>
    <row r="383" spans="1:28" ht="12.75" customHeight="1" x14ac:dyDescent="0.2">
      <c r="A383" s="6"/>
      <c r="D383" s="6"/>
      <c r="F383" s="6"/>
      <c r="G383" s="6"/>
      <c r="H383" s="6"/>
      <c r="I383" s="6"/>
      <c r="K383" s="6"/>
      <c r="L383" s="6"/>
      <c r="N383" s="6"/>
      <c r="O383" s="6"/>
      <c r="P383" s="6"/>
      <c r="R383" s="6"/>
      <c r="V383" s="7"/>
      <c r="Z383" s="6"/>
      <c r="AA383" s="6"/>
      <c r="AB383" s="5"/>
    </row>
    <row r="384" spans="1:28" ht="12.75" customHeight="1" x14ac:dyDescent="0.2">
      <c r="A384" s="6"/>
      <c r="D384" s="6"/>
      <c r="F384" s="6"/>
      <c r="G384" s="6"/>
      <c r="H384" s="6"/>
      <c r="I384" s="6"/>
      <c r="K384" s="6"/>
      <c r="L384" s="6"/>
      <c r="N384" s="6"/>
      <c r="O384" s="6"/>
      <c r="P384" s="6"/>
      <c r="R384" s="6"/>
      <c r="V384" s="7"/>
      <c r="Z384" s="6"/>
      <c r="AA384" s="6"/>
      <c r="AB384" s="5"/>
    </row>
    <row r="385" spans="1:28" ht="12.75" customHeight="1" x14ac:dyDescent="0.2">
      <c r="A385" s="6"/>
      <c r="D385" s="6"/>
      <c r="F385" s="6"/>
      <c r="G385" s="6"/>
      <c r="H385" s="6"/>
      <c r="I385" s="6"/>
      <c r="K385" s="6"/>
      <c r="L385" s="6"/>
      <c r="N385" s="6"/>
      <c r="O385" s="6"/>
      <c r="P385" s="6"/>
      <c r="R385" s="6"/>
      <c r="V385" s="7"/>
      <c r="Z385" s="6"/>
      <c r="AA385" s="6"/>
      <c r="AB385" s="5"/>
    </row>
    <row r="386" spans="1:28" ht="12.75" customHeight="1" x14ac:dyDescent="0.2">
      <c r="A386" s="6"/>
      <c r="D386" s="6"/>
      <c r="F386" s="6"/>
      <c r="G386" s="6"/>
      <c r="H386" s="6"/>
      <c r="I386" s="6"/>
      <c r="K386" s="6"/>
      <c r="L386" s="6"/>
      <c r="N386" s="6"/>
      <c r="O386" s="6"/>
      <c r="P386" s="6"/>
      <c r="R386" s="6"/>
      <c r="V386" s="7"/>
      <c r="Z386" s="6"/>
      <c r="AA386" s="6"/>
      <c r="AB386" s="5"/>
    </row>
    <row r="387" spans="1:28" ht="12.75" customHeight="1" x14ac:dyDescent="0.2">
      <c r="A387" s="6"/>
      <c r="D387" s="6"/>
      <c r="F387" s="6"/>
      <c r="G387" s="6"/>
      <c r="H387" s="6"/>
      <c r="I387" s="6"/>
      <c r="K387" s="6"/>
      <c r="L387" s="6"/>
      <c r="N387" s="6"/>
      <c r="O387" s="6"/>
      <c r="P387" s="6"/>
      <c r="R387" s="6"/>
      <c r="V387" s="7"/>
      <c r="Z387" s="6"/>
      <c r="AA387" s="6"/>
      <c r="AB387" s="5"/>
    </row>
    <row r="388" spans="1:28" ht="12.75" customHeight="1" x14ac:dyDescent="0.2">
      <c r="A388" s="6"/>
      <c r="D388" s="6"/>
      <c r="F388" s="6"/>
      <c r="G388" s="6"/>
      <c r="H388" s="6"/>
      <c r="I388" s="6"/>
      <c r="K388" s="6"/>
      <c r="L388" s="6"/>
      <c r="N388" s="6"/>
      <c r="O388" s="6"/>
      <c r="P388" s="6"/>
      <c r="R388" s="6"/>
      <c r="V388" s="7"/>
      <c r="Z388" s="6"/>
      <c r="AA388" s="6"/>
      <c r="AB388" s="5"/>
    </row>
    <row r="389" spans="1:28" ht="12.75" customHeight="1" x14ac:dyDescent="0.2">
      <c r="A389" s="6"/>
      <c r="D389" s="6"/>
      <c r="F389" s="6"/>
      <c r="G389" s="6"/>
      <c r="H389" s="6"/>
      <c r="I389" s="6"/>
      <c r="K389" s="6"/>
      <c r="L389" s="6"/>
      <c r="N389" s="6"/>
      <c r="O389" s="6"/>
      <c r="P389" s="6"/>
      <c r="R389" s="6"/>
      <c r="V389" s="7"/>
      <c r="Z389" s="6"/>
      <c r="AA389" s="6"/>
      <c r="AB389" s="5"/>
    </row>
    <row r="390" spans="1:28" ht="12.75" customHeight="1" x14ac:dyDescent="0.2">
      <c r="A390" s="6"/>
      <c r="D390" s="6"/>
      <c r="F390" s="6"/>
      <c r="G390" s="6"/>
      <c r="H390" s="6"/>
      <c r="I390" s="6"/>
      <c r="K390" s="6"/>
      <c r="L390" s="6"/>
      <c r="N390" s="6"/>
      <c r="O390" s="6"/>
      <c r="P390" s="6"/>
      <c r="R390" s="6"/>
      <c r="V390" s="7"/>
      <c r="Z390" s="6"/>
      <c r="AA390" s="6"/>
      <c r="AB390" s="5"/>
    </row>
    <row r="391" spans="1:28" ht="12.75" customHeight="1" x14ac:dyDescent="0.2">
      <c r="A391" s="6"/>
      <c r="D391" s="6"/>
      <c r="F391" s="6"/>
      <c r="G391" s="6"/>
      <c r="H391" s="6"/>
      <c r="I391" s="6"/>
      <c r="K391" s="6"/>
      <c r="L391" s="6"/>
      <c r="N391" s="6"/>
      <c r="O391" s="6"/>
      <c r="P391" s="6"/>
      <c r="R391" s="6"/>
      <c r="V391" s="7"/>
      <c r="Z391" s="6"/>
      <c r="AA391" s="6"/>
      <c r="AB391" s="5"/>
    </row>
    <row r="392" spans="1:28" ht="12.75" customHeight="1" x14ac:dyDescent="0.2">
      <c r="A392" s="6"/>
      <c r="D392" s="6"/>
      <c r="F392" s="6"/>
      <c r="G392" s="6"/>
      <c r="H392" s="6"/>
      <c r="I392" s="6"/>
      <c r="K392" s="6"/>
      <c r="L392" s="6"/>
      <c r="N392" s="6"/>
      <c r="O392" s="6"/>
      <c r="P392" s="6"/>
      <c r="R392" s="6"/>
      <c r="V392" s="7"/>
      <c r="Z392" s="6"/>
      <c r="AA392" s="6"/>
      <c r="AB392" s="5"/>
    </row>
    <row r="393" spans="1:28" ht="12.75" customHeight="1" x14ac:dyDescent="0.2">
      <c r="A393" s="6"/>
      <c r="D393" s="6"/>
      <c r="F393" s="6"/>
      <c r="G393" s="6"/>
      <c r="H393" s="6"/>
      <c r="I393" s="6"/>
      <c r="K393" s="6"/>
      <c r="L393" s="6"/>
      <c r="N393" s="6"/>
      <c r="O393" s="6"/>
      <c r="P393" s="6"/>
      <c r="R393" s="6"/>
      <c r="V393" s="7"/>
      <c r="Z393" s="6"/>
      <c r="AA393" s="6"/>
      <c r="AB393" s="5"/>
    </row>
    <row r="394" spans="1:28" ht="12.75" customHeight="1" x14ac:dyDescent="0.2">
      <c r="A394" s="6"/>
      <c r="D394" s="6"/>
      <c r="F394" s="6"/>
      <c r="G394" s="6"/>
      <c r="H394" s="6"/>
      <c r="I394" s="6"/>
      <c r="K394" s="6"/>
      <c r="L394" s="6"/>
      <c r="N394" s="6"/>
      <c r="O394" s="6"/>
      <c r="P394" s="6"/>
      <c r="R394" s="6"/>
      <c r="V394" s="7"/>
      <c r="Z394" s="6"/>
      <c r="AA394" s="6"/>
      <c r="AB394" s="5"/>
    </row>
    <row r="395" spans="1:28" ht="12.75" customHeight="1" x14ac:dyDescent="0.2">
      <c r="A395" s="6"/>
      <c r="D395" s="6"/>
      <c r="F395" s="6"/>
      <c r="G395" s="6"/>
      <c r="H395" s="6"/>
      <c r="I395" s="6"/>
      <c r="K395" s="6"/>
      <c r="L395" s="6"/>
      <c r="N395" s="6"/>
      <c r="O395" s="6"/>
      <c r="P395" s="6"/>
      <c r="R395" s="6"/>
      <c r="V395" s="7"/>
      <c r="Z395" s="6"/>
      <c r="AA395" s="6"/>
      <c r="AB395" s="5"/>
    </row>
    <row r="396" spans="1:28" ht="12.75" customHeight="1" x14ac:dyDescent="0.2">
      <c r="A396" s="6"/>
      <c r="D396" s="6"/>
      <c r="F396" s="6"/>
      <c r="G396" s="6"/>
      <c r="H396" s="6"/>
      <c r="I396" s="6"/>
      <c r="K396" s="6"/>
      <c r="L396" s="6"/>
      <c r="N396" s="6"/>
      <c r="O396" s="6"/>
      <c r="P396" s="6"/>
      <c r="R396" s="6"/>
      <c r="V396" s="7"/>
      <c r="Z396" s="6"/>
      <c r="AA396" s="6"/>
      <c r="AB396" s="5"/>
    </row>
    <row r="397" spans="1:28" ht="12.75" customHeight="1" x14ac:dyDescent="0.2">
      <c r="A397" s="6"/>
      <c r="D397" s="6"/>
      <c r="F397" s="6"/>
      <c r="G397" s="6"/>
      <c r="H397" s="6"/>
      <c r="I397" s="6"/>
      <c r="K397" s="6"/>
      <c r="L397" s="6"/>
      <c r="N397" s="6"/>
      <c r="O397" s="6"/>
      <c r="P397" s="6"/>
      <c r="R397" s="6"/>
      <c r="V397" s="7"/>
      <c r="Z397" s="6"/>
      <c r="AA397" s="6"/>
      <c r="AB397" s="5"/>
    </row>
    <row r="398" spans="1:28" ht="12.75" customHeight="1" x14ac:dyDescent="0.2">
      <c r="A398" s="6"/>
      <c r="D398" s="6"/>
      <c r="F398" s="6"/>
      <c r="G398" s="6"/>
      <c r="H398" s="6"/>
      <c r="I398" s="6"/>
      <c r="K398" s="6"/>
      <c r="L398" s="6"/>
      <c r="N398" s="6"/>
      <c r="O398" s="6"/>
      <c r="P398" s="6"/>
      <c r="R398" s="6"/>
      <c r="V398" s="7"/>
      <c r="Z398" s="6"/>
      <c r="AA398" s="6"/>
      <c r="AB398" s="5"/>
    </row>
    <row r="399" spans="1:28" ht="12.75" customHeight="1" x14ac:dyDescent="0.2">
      <c r="A399" s="6"/>
      <c r="D399" s="6"/>
      <c r="F399" s="6"/>
      <c r="G399" s="6"/>
      <c r="H399" s="6"/>
      <c r="I399" s="6"/>
      <c r="K399" s="6"/>
      <c r="L399" s="6"/>
      <c r="N399" s="6"/>
      <c r="O399" s="6"/>
      <c r="P399" s="6"/>
      <c r="R399" s="6"/>
      <c r="V399" s="7"/>
      <c r="Z399" s="6"/>
      <c r="AA399" s="6"/>
      <c r="AB399" s="5"/>
    </row>
    <row r="400" spans="1:28" ht="12.75" customHeight="1" x14ac:dyDescent="0.2">
      <c r="A400" s="6"/>
      <c r="D400" s="6"/>
      <c r="F400" s="6"/>
      <c r="G400" s="6"/>
      <c r="H400" s="6"/>
      <c r="I400" s="6"/>
      <c r="K400" s="6"/>
      <c r="L400" s="6"/>
      <c r="N400" s="6"/>
      <c r="O400" s="6"/>
      <c r="P400" s="6"/>
      <c r="R400" s="6"/>
      <c r="V400" s="7"/>
      <c r="Z400" s="6"/>
      <c r="AA400" s="6"/>
      <c r="AB400" s="5"/>
    </row>
    <row r="401" spans="1:28" ht="12.75" customHeight="1" x14ac:dyDescent="0.2">
      <c r="A401" s="6"/>
      <c r="D401" s="6"/>
      <c r="F401" s="6"/>
      <c r="G401" s="6"/>
      <c r="H401" s="6"/>
      <c r="I401" s="6"/>
      <c r="K401" s="6"/>
      <c r="L401" s="6"/>
      <c r="N401" s="6"/>
      <c r="O401" s="6"/>
      <c r="P401" s="6"/>
      <c r="R401" s="6"/>
      <c r="V401" s="7"/>
      <c r="Z401" s="6"/>
      <c r="AA401" s="6"/>
      <c r="AB401" s="5"/>
    </row>
    <row r="402" spans="1:28" ht="12.75" customHeight="1" x14ac:dyDescent="0.2">
      <c r="A402" s="6"/>
      <c r="D402" s="6"/>
      <c r="F402" s="6"/>
      <c r="G402" s="6"/>
      <c r="H402" s="6"/>
      <c r="I402" s="6"/>
      <c r="K402" s="6"/>
      <c r="L402" s="6"/>
      <c r="N402" s="6"/>
      <c r="O402" s="6"/>
      <c r="P402" s="6"/>
      <c r="R402" s="6"/>
      <c r="V402" s="7"/>
      <c r="Z402" s="6"/>
      <c r="AA402" s="6"/>
      <c r="AB402" s="5"/>
    </row>
    <row r="403" spans="1:28" ht="12.75" customHeight="1" x14ac:dyDescent="0.2">
      <c r="A403" s="6"/>
      <c r="D403" s="6"/>
      <c r="F403" s="6"/>
      <c r="G403" s="6"/>
      <c r="H403" s="6"/>
      <c r="I403" s="6"/>
      <c r="K403" s="6"/>
      <c r="L403" s="6"/>
      <c r="N403" s="6"/>
      <c r="O403" s="6"/>
      <c r="P403" s="6"/>
      <c r="R403" s="6"/>
      <c r="V403" s="7"/>
      <c r="Z403" s="6"/>
      <c r="AA403" s="6"/>
      <c r="AB403" s="5"/>
    </row>
    <row r="404" spans="1:28" ht="12.75" customHeight="1" x14ac:dyDescent="0.2">
      <c r="A404" s="6"/>
      <c r="D404" s="6"/>
      <c r="F404" s="6"/>
      <c r="G404" s="6"/>
      <c r="H404" s="6"/>
      <c r="I404" s="6"/>
      <c r="K404" s="6"/>
      <c r="L404" s="6"/>
      <c r="N404" s="6"/>
      <c r="O404" s="6"/>
      <c r="P404" s="6"/>
      <c r="R404" s="6"/>
      <c r="V404" s="7"/>
      <c r="Z404" s="6"/>
      <c r="AA404" s="6"/>
      <c r="AB404" s="5"/>
    </row>
    <row r="405" spans="1:28" ht="12.75" customHeight="1" x14ac:dyDescent="0.2">
      <c r="A405" s="6"/>
      <c r="D405" s="6"/>
      <c r="F405" s="6"/>
      <c r="G405" s="6"/>
      <c r="H405" s="6"/>
      <c r="I405" s="6"/>
      <c r="K405" s="6"/>
      <c r="L405" s="6"/>
      <c r="N405" s="6"/>
      <c r="O405" s="6"/>
      <c r="P405" s="6"/>
      <c r="R405" s="6"/>
      <c r="V405" s="7"/>
      <c r="Z405" s="6"/>
      <c r="AA405" s="6"/>
      <c r="AB405" s="5"/>
    </row>
    <row r="406" spans="1:28" ht="12.75" customHeight="1" x14ac:dyDescent="0.2">
      <c r="A406" s="6"/>
      <c r="D406" s="6"/>
      <c r="F406" s="6"/>
      <c r="G406" s="6"/>
      <c r="H406" s="6"/>
      <c r="I406" s="6"/>
      <c r="K406" s="6"/>
      <c r="L406" s="6"/>
      <c r="N406" s="6"/>
      <c r="O406" s="6"/>
      <c r="P406" s="6"/>
      <c r="R406" s="6"/>
      <c r="V406" s="7"/>
      <c r="Z406" s="6"/>
      <c r="AA406" s="6"/>
      <c r="AB406" s="5"/>
    </row>
    <row r="407" spans="1:28" ht="12.75" customHeight="1" x14ac:dyDescent="0.2">
      <c r="A407" s="6"/>
      <c r="D407" s="6"/>
      <c r="F407" s="6"/>
      <c r="G407" s="6"/>
      <c r="H407" s="6"/>
      <c r="I407" s="6"/>
      <c r="K407" s="6"/>
      <c r="L407" s="6"/>
      <c r="N407" s="6"/>
      <c r="O407" s="6"/>
      <c r="P407" s="6"/>
      <c r="R407" s="6"/>
      <c r="V407" s="7"/>
      <c r="Z407" s="6"/>
      <c r="AA407" s="6"/>
      <c r="AB407" s="5"/>
    </row>
    <row r="408" spans="1:28" ht="12.75" customHeight="1" x14ac:dyDescent="0.2">
      <c r="A408" s="6"/>
      <c r="D408" s="6"/>
      <c r="F408" s="6"/>
      <c r="G408" s="6"/>
      <c r="H408" s="6"/>
      <c r="I408" s="6"/>
      <c r="K408" s="6"/>
      <c r="L408" s="6"/>
      <c r="N408" s="6"/>
      <c r="O408" s="6"/>
      <c r="P408" s="6"/>
      <c r="R408" s="6"/>
      <c r="V408" s="7"/>
      <c r="Z408" s="6"/>
      <c r="AA408" s="6"/>
      <c r="AB408" s="5"/>
    </row>
    <row r="409" spans="1:28" ht="12.75" customHeight="1" x14ac:dyDescent="0.2">
      <c r="A409" s="6"/>
      <c r="D409" s="6"/>
      <c r="F409" s="6"/>
      <c r="G409" s="6"/>
      <c r="H409" s="6"/>
      <c r="I409" s="6"/>
      <c r="K409" s="6"/>
      <c r="L409" s="6"/>
      <c r="N409" s="6"/>
      <c r="O409" s="6"/>
      <c r="P409" s="6"/>
      <c r="R409" s="6"/>
      <c r="V409" s="7"/>
      <c r="Z409" s="6"/>
      <c r="AA409" s="6"/>
      <c r="AB409" s="5"/>
    </row>
    <row r="410" spans="1:28" ht="12.75" customHeight="1" x14ac:dyDescent="0.2">
      <c r="A410" s="6"/>
      <c r="D410" s="6"/>
      <c r="F410" s="6"/>
      <c r="G410" s="6"/>
      <c r="H410" s="6"/>
      <c r="I410" s="6"/>
      <c r="K410" s="6"/>
      <c r="L410" s="6"/>
      <c r="N410" s="6"/>
      <c r="O410" s="6"/>
      <c r="P410" s="6"/>
      <c r="R410" s="6"/>
      <c r="V410" s="7"/>
      <c r="Z410" s="6"/>
      <c r="AA410" s="6"/>
      <c r="AB410" s="5"/>
    </row>
    <row r="411" spans="1:28" ht="12.75" customHeight="1" x14ac:dyDescent="0.2">
      <c r="A411" s="6"/>
      <c r="D411" s="6"/>
      <c r="F411" s="6"/>
      <c r="G411" s="6"/>
      <c r="H411" s="6"/>
      <c r="I411" s="6"/>
      <c r="K411" s="6"/>
      <c r="L411" s="6"/>
      <c r="N411" s="6"/>
      <c r="O411" s="6"/>
      <c r="P411" s="6"/>
      <c r="R411" s="6"/>
      <c r="V411" s="7"/>
      <c r="Z411" s="6"/>
      <c r="AA411" s="6"/>
      <c r="AB411" s="5"/>
    </row>
    <row r="412" spans="1:28" ht="12.75" customHeight="1" x14ac:dyDescent="0.2">
      <c r="A412" s="6"/>
      <c r="D412" s="6"/>
      <c r="F412" s="6"/>
      <c r="G412" s="6"/>
      <c r="H412" s="6"/>
      <c r="I412" s="6"/>
      <c r="K412" s="6"/>
      <c r="L412" s="6"/>
      <c r="N412" s="6"/>
      <c r="O412" s="6"/>
      <c r="P412" s="6"/>
      <c r="R412" s="6"/>
      <c r="V412" s="7"/>
      <c r="Z412" s="6"/>
      <c r="AA412" s="6"/>
      <c r="AB412" s="5"/>
    </row>
    <row r="413" spans="1:28" ht="12.75" customHeight="1" x14ac:dyDescent="0.2">
      <c r="A413" s="6"/>
      <c r="D413" s="6"/>
      <c r="F413" s="6"/>
      <c r="G413" s="6"/>
      <c r="H413" s="6"/>
      <c r="I413" s="6"/>
      <c r="K413" s="6"/>
      <c r="L413" s="6"/>
      <c r="N413" s="6"/>
      <c r="O413" s="6"/>
      <c r="P413" s="6"/>
      <c r="R413" s="6"/>
      <c r="V413" s="7"/>
      <c r="Z413" s="6"/>
      <c r="AA413" s="6"/>
      <c r="AB413" s="5"/>
    </row>
    <row r="414" spans="1:28" ht="12.75" customHeight="1" x14ac:dyDescent="0.2">
      <c r="A414" s="6"/>
      <c r="D414" s="6"/>
      <c r="F414" s="6"/>
      <c r="G414" s="6"/>
      <c r="H414" s="6"/>
      <c r="I414" s="6"/>
      <c r="K414" s="6"/>
      <c r="L414" s="6"/>
      <c r="N414" s="6"/>
      <c r="O414" s="6"/>
      <c r="P414" s="6"/>
      <c r="R414" s="6"/>
      <c r="V414" s="7"/>
      <c r="Z414" s="6"/>
      <c r="AA414" s="6"/>
      <c r="AB414" s="5"/>
    </row>
    <row r="415" spans="1:28" ht="12.75" customHeight="1" x14ac:dyDescent="0.2">
      <c r="A415" s="6"/>
      <c r="D415" s="6"/>
      <c r="F415" s="6"/>
      <c r="G415" s="6"/>
      <c r="H415" s="6"/>
      <c r="I415" s="6"/>
      <c r="K415" s="6"/>
      <c r="L415" s="6"/>
      <c r="N415" s="6"/>
      <c r="O415" s="6"/>
      <c r="P415" s="6"/>
      <c r="R415" s="6"/>
      <c r="V415" s="7"/>
      <c r="Z415" s="6"/>
      <c r="AA415" s="6"/>
      <c r="AB415" s="5"/>
    </row>
    <row r="416" spans="1:28" ht="12.75" customHeight="1" x14ac:dyDescent="0.2">
      <c r="A416" s="6"/>
      <c r="D416" s="6"/>
      <c r="F416" s="6"/>
      <c r="G416" s="6"/>
      <c r="H416" s="6"/>
      <c r="I416" s="6"/>
      <c r="K416" s="6"/>
      <c r="L416" s="6"/>
      <c r="N416" s="6"/>
      <c r="O416" s="6"/>
      <c r="P416" s="6"/>
      <c r="R416" s="6"/>
      <c r="V416" s="7"/>
      <c r="Z416" s="6"/>
      <c r="AA416" s="6"/>
      <c r="AB416" s="5"/>
    </row>
    <row r="417" spans="1:28" ht="12.75" customHeight="1" x14ac:dyDescent="0.2">
      <c r="A417" s="6"/>
      <c r="D417" s="6"/>
      <c r="F417" s="6"/>
      <c r="G417" s="6"/>
      <c r="H417" s="6"/>
      <c r="I417" s="6"/>
      <c r="K417" s="6"/>
      <c r="L417" s="6"/>
      <c r="N417" s="6"/>
      <c r="O417" s="6"/>
      <c r="P417" s="6"/>
      <c r="R417" s="6"/>
      <c r="V417" s="7"/>
      <c r="Z417" s="6"/>
      <c r="AA417" s="6"/>
      <c r="AB417" s="5"/>
    </row>
    <row r="418" spans="1:28" ht="12.75" customHeight="1" x14ac:dyDescent="0.2">
      <c r="A418" s="6"/>
      <c r="D418" s="6"/>
      <c r="F418" s="6"/>
      <c r="G418" s="6"/>
      <c r="H418" s="6"/>
      <c r="I418" s="6"/>
      <c r="K418" s="6"/>
      <c r="L418" s="6"/>
      <c r="N418" s="6"/>
      <c r="O418" s="6"/>
      <c r="P418" s="6"/>
      <c r="R418" s="6"/>
      <c r="V418" s="7"/>
      <c r="Z418" s="6"/>
      <c r="AA418" s="6"/>
      <c r="AB418" s="5"/>
    </row>
    <row r="419" spans="1:28" ht="12.75" customHeight="1" x14ac:dyDescent="0.2">
      <c r="A419" s="6"/>
      <c r="D419" s="6"/>
      <c r="F419" s="6"/>
      <c r="G419" s="6"/>
      <c r="H419" s="6"/>
      <c r="I419" s="6"/>
      <c r="K419" s="6"/>
      <c r="L419" s="6"/>
      <c r="N419" s="6"/>
      <c r="O419" s="6"/>
      <c r="P419" s="6"/>
      <c r="R419" s="6"/>
      <c r="V419" s="7"/>
      <c r="Z419" s="6"/>
      <c r="AA419" s="6"/>
      <c r="AB419" s="5"/>
    </row>
    <row r="420" spans="1:28" ht="12.75" customHeight="1" x14ac:dyDescent="0.2">
      <c r="A420" s="6"/>
      <c r="D420" s="6"/>
      <c r="F420" s="6"/>
      <c r="G420" s="6"/>
      <c r="H420" s="6"/>
      <c r="I420" s="6"/>
      <c r="K420" s="6"/>
      <c r="L420" s="6"/>
      <c r="N420" s="6"/>
      <c r="O420" s="6"/>
      <c r="P420" s="6"/>
      <c r="R420" s="6"/>
      <c r="V420" s="7"/>
      <c r="Z420" s="6"/>
      <c r="AA420" s="6"/>
      <c r="AB420" s="5"/>
    </row>
    <row r="421" spans="1:28" ht="12.75" customHeight="1" x14ac:dyDescent="0.2">
      <c r="A421" s="6"/>
      <c r="D421" s="6"/>
      <c r="F421" s="6"/>
      <c r="G421" s="6"/>
      <c r="H421" s="6"/>
      <c r="I421" s="6"/>
      <c r="K421" s="6"/>
      <c r="L421" s="6"/>
      <c r="N421" s="6"/>
      <c r="O421" s="6"/>
      <c r="P421" s="6"/>
      <c r="R421" s="6"/>
      <c r="V421" s="7"/>
      <c r="Z421" s="6"/>
      <c r="AA421" s="6"/>
      <c r="AB421" s="5"/>
    </row>
    <row r="422" spans="1:28" ht="12.75" customHeight="1" x14ac:dyDescent="0.2">
      <c r="A422" s="6"/>
      <c r="D422" s="6"/>
      <c r="F422" s="6"/>
      <c r="G422" s="6"/>
      <c r="H422" s="6"/>
      <c r="I422" s="6"/>
      <c r="K422" s="6"/>
      <c r="L422" s="6"/>
      <c r="N422" s="6"/>
      <c r="O422" s="6"/>
      <c r="P422" s="6"/>
      <c r="R422" s="6"/>
      <c r="V422" s="7"/>
      <c r="Z422" s="6"/>
      <c r="AA422" s="6"/>
      <c r="AB422" s="5"/>
    </row>
    <row r="423" spans="1:28" ht="12.75" customHeight="1" x14ac:dyDescent="0.2">
      <c r="A423" s="6"/>
      <c r="D423" s="6"/>
      <c r="F423" s="6"/>
      <c r="G423" s="6"/>
      <c r="H423" s="6"/>
      <c r="I423" s="6"/>
      <c r="K423" s="6"/>
      <c r="L423" s="6"/>
      <c r="N423" s="6"/>
      <c r="O423" s="6"/>
      <c r="P423" s="6"/>
      <c r="R423" s="6"/>
      <c r="V423" s="7"/>
      <c r="Z423" s="6"/>
      <c r="AA423" s="6"/>
      <c r="AB423" s="5"/>
    </row>
    <row r="424" spans="1:28" ht="12.75" customHeight="1" x14ac:dyDescent="0.2">
      <c r="A424" s="6"/>
      <c r="D424" s="6"/>
      <c r="F424" s="6"/>
      <c r="G424" s="6"/>
      <c r="H424" s="6"/>
      <c r="I424" s="6"/>
      <c r="K424" s="6"/>
      <c r="L424" s="6"/>
      <c r="N424" s="6"/>
      <c r="O424" s="6"/>
      <c r="P424" s="6"/>
      <c r="R424" s="6"/>
      <c r="V424" s="7"/>
      <c r="Z424" s="6"/>
      <c r="AA424" s="6"/>
      <c r="AB424" s="5"/>
    </row>
    <row r="425" spans="1:28" ht="12.75" customHeight="1" x14ac:dyDescent="0.2">
      <c r="A425" s="6"/>
      <c r="D425" s="6"/>
      <c r="F425" s="6"/>
      <c r="G425" s="6"/>
      <c r="H425" s="6"/>
      <c r="I425" s="6"/>
      <c r="K425" s="6"/>
      <c r="L425" s="6"/>
      <c r="N425" s="6"/>
      <c r="O425" s="6"/>
      <c r="P425" s="6"/>
      <c r="R425" s="6"/>
      <c r="V425" s="7"/>
      <c r="Z425" s="6"/>
      <c r="AA425" s="6"/>
      <c r="AB425" s="5"/>
    </row>
    <row r="426" spans="1:28" ht="12.75" customHeight="1" x14ac:dyDescent="0.2">
      <c r="A426" s="6"/>
      <c r="D426" s="6"/>
      <c r="F426" s="6"/>
      <c r="G426" s="6"/>
      <c r="H426" s="6"/>
      <c r="I426" s="6"/>
      <c r="K426" s="6"/>
      <c r="L426" s="6"/>
      <c r="N426" s="6"/>
      <c r="O426" s="6"/>
      <c r="P426" s="6"/>
      <c r="R426" s="6"/>
      <c r="V426" s="7"/>
      <c r="Z426" s="6"/>
      <c r="AA426" s="6"/>
      <c r="AB426" s="5"/>
    </row>
    <row r="427" spans="1:28" ht="12.75" customHeight="1" x14ac:dyDescent="0.2">
      <c r="A427" s="6"/>
      <c r="D427" s="6"/>
      <c r="F427" s="6"/>
      <c r="G427" s="6"/>
      <c r="H427" s="6"/>
      <c r="I427" s="6"/>
      <c r="K427" s="6"/>
      <c r="L427" s="6"/>
      <c r="N427" s="6"/>
      <c r="O427" s="6"/>
      <c r="P427" s="6"/>
      <c r="R427" s="6"/>
      <c r="V427" s="7"/>
      <c r="Z427" s="6"/>
      <c r="AA427" s="6"/>
      <c r="AB427" s="5"/>
    </row>
    <row r="428" spans="1:28" ht="12.75" customHeight="1" x14ac:dyDescent="0.2">
      <c r="A428" s="6"/>
      <c r="D428" s="6"/>
      <c r="F428" s="6"/>
      <c r="G428" s="6"/>
      <c r="H428" s="6"/>
      <c r="I428" s="6"/>
      <c r="K428" s="6"/>
      <c r="L428" s="6"/>
      <c r="N428" s="6"/>
      <c r="O428" s="6"/>
      <c r="P428" s="6"/>
      <c r="R428" s="6"/>
      <c r="V428" s="7"/>
      <c r="Z428" s="6"/>
      <c r="AA428" s="6"/>
      <c r="AB428" s="5"/>
    </row>
    <row r="429" spans="1:28" ht="12.75" customHeight="1" x14ac:dyDescent="0.2">
      <c r="A429" s="6"/>
      <c r="D429" s="6"/>
      <c r="F429" s="6"/>
      <c r="G429" s="6"/>
      <c r="H429" s="6"/>
      <c r="I429" s="6"/>
      <c r="K429" s="6"/>
      <c r="L429" s="6"/>
      <c r="N429" s="6"/>
      <c r="O429" s="6"/>
      <c r="P429" s="6"/>
      <c r="R429" s="6"/>
      <c r="V429" s="7"/>
      <c r="Z429" s="6"/>
      <c r="AA429" s="6"/>
      <c r="AB429" s="5"/>
    </row>
    <row r="430" spans="1:28" ht="12.75" customHeight="1" x14ac:dyDescent="0.2">
      <c r="A430" s="6"/>
      <c r="D430" s="6"/>
      <c r="F430" s="6"/>
      <c r="G430" s="6"/>
      <c r="H430" s="6"/>
      <c r="I430" s="6"/>
      <c r="K430" s="6"/>
      <c r="L430" s="6"/>
      <c r="N430" s="6"/>
      <c r="O430" s="6"/>
      <c r="P430" s="6"/>
      <c r="R430" s="6"/>
      <c r="V430" s="7"/>
      <c r="Z430" s="6"/>
      <c r="AA430" s="6"/>
      <c r="AB430" s="5"/>
    </row>
    <row r="431" spans="1:28" ht="12.75" customHeight="1" x14ac:dyDescent="0.2">
      <c r="A431" s="6"/>
      <c r="D431" s="6"/>
      <c r="F431" s="6"/>
      <c r="G431" s="6"/>
      <c r="H431" s="6"/>
      <c r="I431" s="6"/>
      <c r="K431" s="6"/>
      <c r="L431" s="6"/>
      <c r="N431" s="6"/>
      <c r="O431" s="6"/>
      <c r="P431" s="6"/>
      <c r="R431" s="6"/>
      <c r="V431" s="7"/>
      <c r="Z431" s="6"/>
      <c r="AA431" s="6"/>
      <c r="AB431" s="5"/>
    </row>
    <row r="432" spans="1:28" ht="12.75" customHeight="1" x14ac:dyDescent="0.2">
      <c r="A432" s="6"/>
      <c r="D432" s="6"/>
      <c r="F432" s="6"/>
      <c r="G432" s="6"/>
      <c r="H432" s="6"/>
      <c r="I432" s="6"/>
      <c r="K432" s="6"/>
      <c r="L432" s="6"/>
      <c r="N432" s="6"/>
      <c r="O432" s="6"/>
      <c r="P432" s="6"/>
      <c r="R432" s="6"/>
      <c r="V432" s="7"/>
      <c r="Z432" s="6"/>
      <c r="AA432" s="6"/>
      <c r="AB432" s="5"/>
    </row>
    <row r="433" spans="1:28" ht="12.75" customHeight="1" x14ac:dyDescent="0.2">
      <c r="A433" s="6"/>
      <c r="D433" s="6"/>
      <c r="F433" s="6"/>
      <c r="G433" s="6"/>
      <c r="H433" s="6"/>
      <c r="I433" s="6"/>
      <c r="K433" s="6"/>
      <c r="L433" s="6"/>
      <c r="N433" s="6"/>
      <c r="O433" s="6"/>
      <c r="P433" s="6"/>
      <c r="R433" s="6"/>
      <c r="V433" s="7"/>
      <c r="Z433" s="6"/>
      <c r="AA433" s="6"/>
      <c r="AB433" s="5"/>
    </row>
    <row r="434" spans="1:28" ht="12.75" customHeight="1" x14ac:dyDescent="0.2">
      <c r="A434" s="6"/>
      <c r="D434" s="6"/>
      <c r="F434" s="6"/>
      <c r="G434" s="6"/>
      <c r="H434" s="6"/>
      <c r="I434" s="6"/>
      <c r="K434" s="6"/>
      <c r="L434" s="6"/>
      <c r="N434" s="6"/>
      <c r="O434" s="6"/>
      <c r="P434" s="6"/>
      <c r="R434" s="6"/>
      <c r="V434" s="7"/>
      <c r="Z434" s="6"/>
      <c r="AA434" s="6"/>
      <c r="AB434" s="5"/>
    </row>
    <row r="435" spans="1:28" ht="12.75" customHeight="1" x14ac:dyDescent="0.2">
      <c r="A435" s="6"/>
      <c r="D435" s="6"/>
      <c r="F435" s="6"/>
      <c r="G435" s="6"/>
      <c r="H435" s="6"/>
      <c r="I435" s="6"/>
      <c r="K435" s="6"/>
      <c r="L435" s="6"/>
      <c r="N435" s="6"/>
      <c r="O435" s="6"/>
      <c r="P435" s="6"/>
      <c r="R435" s="6"/>
      <c r="V435" s="7"/>
      <c r="Z435" s="6"/>
      <c r="AA435" s="6"/>
      <c r="AB435" s="5"/>
    </row>
    <row r="436" spans="1:28" ht="12.75" customHeight="1" x14ac:dyDescent="0.2">
      <c r="A436" s="6"/>
      <c r="D436" s="6"/>
      <c r="F436" s="6"/>
      <c r="G436" s="6"/>
      <c r="H436" s="6"/>
      <c r="I436" s="6"/>
      <c r="K436" s="6"/>
      <c r="L436" s="6"/>
      <c r="N436" s="6"/>
      <c r="O436" s="6"/>
      <c r="P436" s="6"/>
      <c r="R436" s="6"/>
      <c r="V436" s="7"/>
      <c r="Z436" s="6"/>
      <c r="AA436" s="6"/>
      <c r="AB436" s="5"/>
    </row>
    <row r="437" spans="1:28" ht="12.75" customHeight="1" x14ac:dyDescent="0.2">
      <c r="A437" s="6"/>
      <c r="D437" s="6"/>
      <c r="F437" s="6"/>
      <c r="G437" s="6"/>
      <c r="H437" s="6"/>
      <c r="I437" s="6"/>
      <c r="K437" s="6"/>
      <c r="L437" s="6"/>
      <c r="N437" s="6"/>
      <c r="O437" s="6"/>
      <c r="P437" s="6"/>
      <c r="R437" s="6"/>
      <c r="V437" s="7"/>
      <c r="Z437" s="6"/>
      <c r="AA437" s="6"/>
      <c r="AB437" s="5"/>
    </row>
    <row r="438" spans="1:28" ht="12.75" customHeight="1" x14ac:dyDescent="0.2">
      <c r="A438" s="6"/>
      <c r="D438" s="6"/>
      <c r="F438" s="6"/>
      <c r="G438" s="6"/>
      <c r="H438" s="6"/>
      <c r="I438" s="6"/>
      <c r="K438" s="6"/>
      <c r="L438" s="6"/>
      <c r="N438" s="6"/>
      <c r="O438" s="6"/>
      <c r="P438" s="6"/>
      <c r="R438" s="6"/>
      <c r="V438" s="7"/>
      <c r="Z438" s="6"/>
      <c r="AA438" s="6"/>
      <c r="AB438" s="5"/>
    </row>
    <row r="439" spans="1:28" ht="12.75" customHeight="1" x14ac:dyDescent="0.2">
      <c r="A439" s="6"/>
      <c r="D439" s="6"/>
      <c r="F439" s="6"/>
      <c r="G439" s="6"/>
      <c r="H439" s="6"/>
      <c r="I439" s="6"/>
      <c r="K439" s="6"/>
      <c r="L439" s="6"/>
      <c r="N439" s="6"/>
      <c r="O439" s="6"/>
      <c r="P439" s="6"/>
      <c r="R439" s="6"/>
      <c r="V439" s="7"/>
      <c r="Z439" s="6"/>
      <c r="AA439" s="6"/>
      <c r="AB439" s="5"/>
    </row>
    <row r="440" spans="1:28" ht="12.75" customHeight="1" x14ac:dyDescent="0.2">
      <c r="A440" s="6"/>
      <c r="D440" s="6"/>
      <c r="F440" s="6"/>
      <c r="G440" s="6"/>
      <c r="H440" s="6"/>
      <c r="I440" s="6"/>
      <c r="K440" s="6"/>
      <c r="L440" s="6"/>
      <c r="N440" s="6"/>
      <c r="O440" s="6"/>
      <c r="P440" s="6"/>
      <c r="R440" s="6"/>
      <c r="V440" s="7"/>
      <c r="Z440" s="6"/>
      <c r="AA440" s="6"/>
      <c r="AB440" s="5"/>
    </row>
    <row r="441" spans="1:28" ht="12.75" customHeight="1" x14ac:dyDescent="0.2">
      <c r="A441" s="6"/>
      <c r="D441" s="6"/>
      <c r="F441" s="6"/>
      <c r="G441" s="6"/>
      <c r="H441" s="6"/>
      <c r="I441" s="6"/>
      <c r="K441" s="6"/>
      <c r="L441" s="6"/>
      <c r="N441" s="6"/>
      <c r="O441" s="6"/>
      <c r="P441" s="6"/>
      <c r="R441" s="6"/>
      <c r="V441" s="7"/>
      <c r="Z441" s="6"/>
      <c r="AA441" s="6"/>
      <c r="AB441" s="5"/>
    </row>
    <row r="442" spans="1:28" ht="12.75" customHeight="1" x14ac:dyDescent="0.2">
      <c r="A442" s="6"/>
      <c r="D442" s="6"/>
      <c r="F442" s="6"/>
      <c r="G442" s="6"/>
      <c r="H442" s="6"/>
      <c r="I442" s="6"/>
      <c r="K442" s="6"/>
      <c r="L442" s="6"/>
      <c r="N442" s="6"/>
      <c r="O442" s="6"/>
      <c r="P442" s="6"/>
      <c r="R442" s="6"/>
      <c r="V442" s="7"/>
      <c r="Z442" s="6"/>
      <c r="AA442" s="6"/>
      <c r="AB442" s="5"/>
    </row>
    <row r="443" spans="1:28" ht="12.75" customHeight="1" x14ac:dyDescent="0.2">
      <c r="A443" s="6"/>
      <c r="D443" s="6"/>
      <c r="F443" s="6"/>
      <c r="G443" s="6"/>
      <c r="H443" s="6"/>
      <c r="I443" s="6"/>
      <c r="K443" s="6"/>
      <c r="L443" s="6"/>
      <c r="N443" s="6"/>
      <c r="O443" s="6"/>
      <c r="P443" s="6"/>
      <c r="R443" s="6"/>
      <c r="V443" s="7"/>
      <c r="Z443" s="6"/>
      <c r="AA443" s="6"/>
      <c r="AB443" s="5"/>
    </row>
    <row r="444" spans="1:28" ht="12.75" customHeight="1" x14ac:dyDescent="0.2">
      <c r="A444" s="6"/>
      <c r="D444" s="6"/>
      <c r="F444" s="6"/>
      <c r="G444" s="6"/>
      <c r="H444" s="6"/>
      <c r="I444" s="6"/>
      <c r="K444" s="6"/>
      <c r="L444" s="6"/>
      <c r="N444" s="6"/>
      <c r="O444" s="6"/>
      <c r="P444" s="6"/>
      <c r="R444" s="6"/>
      <c r="V444" s="7"/>
      <c r="Z444" s="6"/>
      <c r="AA444" s="6"/>
      <c r="AB444" s="5"/>
    </row>
    <row r="445" spans="1:28" ht="12.75" customHeight="1" x14ac:dyDescent="0.2">
      <c r="A445" s="6"/>
      <c r="D445" s="6"/>
      <c r="F445" s="6"/>
      <c r="G445" s="6"/>
      <c r="H445" s="6"/>
      <c r="I445" s="6"/>
      <c r="K445" s="6"/>
      <c r="L445" s="6"/>
      <c r="N445" s="6"/>
      <c r="O445" s="6"/>
      <c r="P445" s="6"/>
      <c r="R445" s="6"/>
      <c r="V445" s="7"/>
      <c r="Z445" s="6"/>
      <c r="AA445" s="6"/>
      <c r="AB445" s="5"/>
    </row>
    <row r="446" spans="1:28" ht="12.75" customHeight="1" x14ac:dyDescent="0.2">
      <c r="A446" s="6"/>
      <c r="D446" s="6"/>
      <c r="F446" s="6"/>
      <c r="G446" s="6"/>
      <c r="H446" s="6"/>
      <c r="I446" s="6"/>
      <c r="K446" s="6"/>
      <c r="L446" s="6"/>
      <c r="N446" s="6"/>
      <c r="O446" s="6"/>
      <c r="P446" s="6"/>
      <c r="R446" s="6"/>
      <c r="V446" s="7"/>
      <c r="Z446" s="6"/>
      <c r="AA446" s="6"/>
      <c r="AB446" s="5"/>
    </row>
    <row r="447" spans="1:28" ht="12.75" customHeight="1" x14ac:dyDescent="0.2">
      <c r="A447" s="6"/>
      <c r="D447" s="6"/>
      <c r="F447" s="6"/>
      <c r="G447" s="6"/>
      <c r="H447" s="6"/>
      <c r="I447" s="6"/>
      <c r="K447" s="6"/>
      <c r="L447" s="6"/>
      <c r="N447" s="6"/>
      <c r="O447" s="6"/>
      <c r="P447" s="6"/>
      <c r="R447" s="6"/>
      <c r="V447" s="7"/>
      <c r="Z447" s="6"/>
      <c r="AA447" s="6"/>
      <c r="AB447" s="5"/>
    </row>
    <row r="448" spans="1:28" ht="12.75" customHeight="1" x14ac:dyDescent="0.2">
      <c r="A448" s="6"/>
      <c r="D448" s="6"/>
      <c r="F448" s="6"/>
      <c r="G448" s="6"/>
      <c r="H448" s="6"/>
      <c r="I448" s="6"/>
      <c r="K448" s="6"/>
      <c r="L448" s="6"/>
      <c r="N448" s="6"/>
      <c r="O448" s="6"/>
      <c r="P448" s="6"/>
      <c r="R448" s="6"/>
      <c r="V448" s="7"/>
      <c r="Z448" s="6"/>
      <c r="AA448" s="6"/>
      <c r="AB448" s="5"/>
    </row>
    <row r="449" spans="1:28" ht="12.75" customHeight="1" x14ac:dyDescent="0.2">
      <c r="A449" s="6"/>
      <c r="D449" s="6"/>
      <c r="F449" s="6"/>
      <c r="G449" s="6"/>
      <c r="H449" s="6"/>
      <c r="I449" s="6"/>
      <c r="K449" s="6"/>
      <c r="L449" s="6"/>
      <c r="N449" s="6"/>
      <c r="O449" s="6"/>
      <c r="P449" s="6"/>
      <c r="R449" s="6"/>
      <c r="V449" s="7"/>
      <c r="Z449" s="6"/>
      <c r="AA449" s="6"/>
      <c r="AB449" s="5"/>
    </row>
    <row r="450" spans="1:28" ht="12.75" customHeight="1" x14ac:dyDescent="0.2">
      <c r="A450" s="6"/>
      <c r="D450" s="6"/>
      <c r="F450" s="6"/>
      <c r="G450" s="6"/>
      <c r="H450" s="6"/>
      <c r="I450" s="6"/>
      <c r="K450" s="6"/>
      <c r="L450" s="6"/>
      <c r="N450" s="6"/>
      <c r="O450" s="6"/>
      <c r="P450" s="6"/>
      <c r="R450" s="6"/>
      <c r="V450" s="7"/>
      <c r="Z450" s="6"/>
      <c r="AA450" s="6"/>
      <c r="AB450" s="5"/>
    </row>
    <row r="451" spans="1:28" ht="12.75" customHeight="1" x14ac:dyDescent="0.2">
      <c r="A451" s="6"/>
      <c r="D451" s="6"/>
      <c r="F451" s="6"/>
      <c r="G451" s="6"/>
      <c r="H451" s="6"/>
      <c r="I451" s="6"/>
      <c r="K451" s="6"/>
      <c r="L451" s="6"/>
      <c r="N451" s="6"/>
      <c r="O451" s="6"/>
      <c r="P451" s="6"/>
      <c r="R451" s="6"/>
      <c r="V451" s="7"/>
      <c r="Z451" s="6"/>
      <c r="AA451" s="6"/>
      <c r="AB451" s="5"/>
    </row>
    <row r="452" spans="1:28" ht="12.75" customHeight="1" x14ac:dyDescent="0.2">
      <c r="A452" s="6"/>
      <c r="D452" s="6"/>
      <c r="F452" s="6"/>
      <c r="G452" s="6"/>
      <c r="H452" s="6"/>
      <c r="I452" s="6"/>
      <c r="K452" s="6"/>
      <c r="L452" s="6"/>
      <c r="N452" s="6"/>
      <c r="O452" s="6"/>
      <c r="P452" s="6"/>
      <c r="R452" s="6"/>
      <c r="V452" s="7"/>
      <c r="Z452" s="6"/>
      <c r="AA452" s="6"/>
      <c r="AB452" s="5"/>
    </row>
    <row r="453" spans="1:28" ht="12.75" customHeight="1" x14ac:dyDescent="0.2">
      <c r="A453" s="6"/>
      <c r="D453" s="6"/>
      <c r="F453" s="6"/>
      <c r="G453" s="6"/>
      <c r="H453" s="6"/>
      <c r="I453" s="6"/>
      <c r="K453" s="6"/>
      <c r="L453" s="6"/>
      <c r="N453" s="6"/>
      <c r="O453" s="6"/>
      <c r="P453" s="6"/>
      <c r="R453" s="6"/>
      <c r="V453" s="7"/>
      <c r="Z453" s="6"/>
      <c r="AA453" s="6"/>
      <c r="AB453" s="5"/>
    </row>
    <row r="454" spans="1:28" ht="12.75" customHeight="1" x14ac:dyDescent="0.2">
      <c r="A454" s="6"/>
      <c r="D454" s="6"/>
      <c r="F454" s="6"/>
      <c r="G454" s="6"/>
      <c r="H454" s="6"/>
      <c r="I454" s="6"/>
      <c r="K454" s="6"/>
      <c r="L454" s="6"/>
      <c r="N454" s="6"/>
      <c r="O454" s="6"/>
      <c r="P454" s="6"/>
      <c r="R454" s="6"/>
      <c r="V454" s="7"/>
      <c r="Z454" s="6"/>
      <c r="AA454" s="6"/>
      <c r="AB454" s="5"/>
    </row>
    <row r="455" spans="1:28" ht="12.75" customHeight="1" x14ac:dyDescent="0.2">
      <c r="A455" s="6"/>
      <c r="D455" s="6"/>
      <c r="F455" s="6"/>
      <c r="G455" s="6"/>
      <c r="H455" s="6"/>
      <c r="I455" s="6"/>
      <c r="K455" s="6"/>
      <c r="L455" s="6"/>
      <c r="N455" s="6"/>
      <c r="O455" s="6"/>
      <c r="P455" s="6"/>
      <c r="R455" s="6"/>
      <c r="V455" s="7"/>
      <c r="Z455" s="6"/>
      <c r="AA455" s="6"/>
      <c r="AB455" s="5"/>
    </row>
    <row r="456" spans="1:28" ht="12.75" customHeight="1" x14ac:dyDescent="0.2">
      <c r="A456" s="6"/>
      <c r="D456" s="6"/>
      <c r="F456" s="6"/>
      <c r="G456" s="6"/>
      <c r="H456" s="6"/>
      <c r="I456" s="6"/>
      <c r="K456" s="6"/>
      <c r="L456" s="6"/>
      <c r="N456" s="6"/>
      <c r="O456" s="6"/>
      <c r="P456" s="6"/>
      <c r="R456" s="6"/>
      <c r="V456" s="7"/>
      <c r="Z456" s="6"/>
      <c r="AA456" s="6"/>
      <c r="AB456" s="5"/>
    </row>
    <row r="457" spans="1:28" ht="12.75" customHeight="1" x14ac:dyDescent="0.2">
      <c r="A457" s="6"/>
      <c r="D457" s="6"/>
      <c r="F457" s="6"/>
      <c r="G457" s="6"/>
      <c r="H457" s="6"/>
      <c r="I457" s="6"/>
      <c r="K457" s="6"/>
      <c r="L457" s="6"/>
      <c r="N457" s="6"/>
      <c r="O457" s="6"/>
      <c r="P457" s="6"/>
      <c r="R457" s="6"/>
      <c r="V457" s="7"/>
      <c r="Z457" s="6"/>
      <c r="AA457" s="6"/>
      <c r="AB457" s="5"/>
    </row>
    <row r="458" spans="1:28" ht="12.75" customHeight="1" x14ac:dyDescent="0.2">
      <c r="A458" s="6"/>
      <c r="D458" s="6"/>
      <c r="F458" s="6"/>
      <c r="G458" s="6"/>
      <c r="H458" s="6"/>
      <c r="I458" s="6"/>
      <c r="K458" s="6"/>
      <c r="L458" s="6"/>
      <c r="N458" s="6"/>
      <c r="O458" s="6"/>
      <c r="P458" s="6"/>
      <c r="R458" s="6"/>
      <c r="V458" s="7"/>
      <c r="Z458" s="6"/>
      <c r="AA458" s="6"/>
      <c r="AB458" s="5"/>
    </row>
    <row r="459" spans="1:28" ht="12.75" customHeight="1" x14ac:dyDescent="0.2">
      <c r="A459" s="6"/>
      <c r="D459" s="6"/>
      <c r="F459" s="6"/>
      <c r="G459" s="6"/>
      <c r="H459" s="6"/>
      <c r="I459" s="6"/>
      <c r="K459" s="6"/>
      <c r="L459" s="6"/>
      <c r="N459" s="6"/>
      <c r="O459" s="6"/>
      <c r="P459" s="6"/>
      <c r="R459" s="6"/>
      <c r="V459" s="7"/>
      <c r="Z459" s="6"/>
      <c r="AA459" s="6"/>
      <c r="AB459" s="5"/>
    </row>
    <row r="460" spans="1:28" ht="12.75" customHeight="1" x14ac:dyDescent="0.2">
      <c r="A460" s="6"/>
      <c r="D460" s="6"/>
      <c r="F460" s="6"/>
      <c r="G460" s="6"/>
      <c r="H460" s="6"/>
      <c r="I460" s="6"/>
      <c r="K460" s="6"/>
      <c r="L460" s="6"/>
      <c r="N460" s="6"/>
      <c r="O460" s="6"/>
      <c r="P460" s="6"/>
      <c r="R460" s="6"/>
      <c r="V460" s="7"/>
      <c r="Z460" s="6"/>
      <c r="AA460" s="6"/>
      <c r="AB460" s="5"/>
    </row>
    <row r="461" spans="1:28" ht="12.75" customHeight="1" x14ac:dyDescent="0.2">
      <c r="A461" s="6"/>
      <c r="D461" s="6"/>
      <c r="F461" s="6"/>
      <c r="G461" s="6"/>
      <c r="H461" s="6"/>
      <c r="I461" s="6"/>
      <c r="K461" s="6"/>
      <c r="L461" s="6"/>
      <c r="N461" s="6"/>
      <c r="O461" s="6"/>
      <c r="P461" s="6"/>
      <c r="R461" s="6"/>
      <c r="V461" s="7"/>
      <c r="Z461" s="6"/>
      <c r="AA461" s="6"/>
      <c r="AB461" s="5"/>
    </row>
    <row r="462" spans="1:28" ht="12.75" customHeight="1" x14ac:dyDescent="0.2">
      <c r="A462" s="6"/>
      <c r="D462" s="6"/>
      <c r="F462" s="6"/>
      <c r="G462" s="6"/>
      <c r="H462" s="6"/>
      <c r="I462" s="6"/>
      <c r="K462" s="6"/>
      <c r="L462" s="6"/>
      <c r="N462" s="6"/>
      <c r="O462" s="6"/>
      <c r="P462" s="6"/>
      <c r="R462" s="6"/>
      <c r="V462" s="7"/>
      <c r="Z462" s="6"/>
      <c r="AA462" s="6"/>
      <c r="AB462" s="5"/>
    </row>
    <row r="463" spans="1:28" ht="12.75" customHeight="1" x14ac:dyDescent="0.2">
      <c r="A463" s="6"/>
      <c r="D463" s="6"/>
      <c r="F463" s="6"/>
      <c r="G463" s="6"/>
      <c r="H463" s="6"/>
      <c r="I463" s="6"/>
      <c r="K463" s="6"/>
      <c r="L463" s="6"/>
      <c r="N463" s="6"/>
      <c r="O463" s="6"/>
      <c r="P463" s="6"/>
      <c r="R463" s="6"/>
      <c r="V463" s="7"/>
      <c r="Z463" s="6"/>
      <c r="AA463" s="6"/>
      <c r="AB463" s="5"/>
    </row>
    <row r="464" spans="1:28" ht="12.75" customHeight="1" x14ac:dyDescent="0.2">
      <c r="A464" s="6"/>
      <c r="D464" s="6"/>
      <c r="F464" s="6"/>
      <c r="G464" s="6"/>
      <c r="H464" s="6"/>
      <c r="I464" s="6"/>
      <c r="K464" s="6"/>
      <c r="L464" s="6"/>
      <c r="N464" s="6"/>
      <c r="O464" s="6"/>
      <c r="P464" s="6"/>
      <c r="R464" s="6"/>
      <c r="V464" s="7"/>
      <c r="Z464" s="6"/>
      <c r="AA464" s="6"/>
      <c r="AB464" s="5"/>
    </row>
    <row r="465" spans="1:28" ht="12.75" customHeight="1" x14ac:dyDescent="0.2">
      <c r="A465" s="6"/>
      <c r="D465" s="6"/>
      <c r="F465" s="6"/>
      <c r="G465" s="6"/>
      <c r="H465" s="6"/>
      <c r="I465" s="6"/>
      <c r="K465" s="6"/>
      <c r="L465" s="6"/>
      <c r="N465" s="6"/>
      <c r="O465" s="6"/>
      <c r="P465" s="6"/>
      <c r="R465" s="6"/>
      <c r="V465" s="7"/>
      <c r="Z465" s="6"/>
      <c r="AA465" s="6"/>
      <c r="AB465" s="5"/>
    </row>
    <row r="466" spans="1:28" ht="12.75" customHeight="1" x14ac:dyDescent="0.2">
      <c r="A466" s="6"/>
      <c r="D466" s="6"/>
      <c r="F466" s="6"/>
      <c r="G466" s="6"/>
      <c r="H466" s="6"/>
      <c r="I466" s="6"/>
      <c r="K466" s="6"/>
      <c r="L466" s="6"/>
      <c r="N466" s="6"/>
      <c r="O466" s="6"/>
      <c r="P466" s="6"/>
      <c r="R466" s="6"/>
      <c r="V466" s="7"/>
      <c r="Z466" s="6"/>
      <c r="AA466" s="6"/>
      <c r="AB466" s="5"/>
    </row>
    <row r="467" spans="1:28" ht="12.75" customHeight="1" x14ac:dyDescent="0.2">
      <c r="A467" s="6"/>
      <c r="D467" s="6"/>
      <c r="F467" s="6"/>
      <c r="G467" s="6"/>
      <c r="H467" s="6"/>
      <c r="I467" s="6"/>
      <c r="K467" s="6"/>
      <c r="L467" s="6"/>
      <c r="N467" s="6"/>
      <c r="O467" s="6"/>
      <c r="P467" s="6"/>
      <c r="R467" s="6"/>
      <c r="V467" s="7"/>
      <c r="Z467" s="6"/>
      <c r="AA467" s="6"/>
      <c r="AB467" s="5"/>
    </row>
    <row r="468" spans="1:28" ht="12.75" customHeight="1" x14ac:dyDescent="0.2">
      <c r="A468" s="6"/>
      <c r="D468" s="6"/>
      <c r="F468" s="6"/>
      <c r="G468" s="6"/>
      <c r="H468" s="6"/>
      <c r="I468" s="6"/>
      <c r="K468" s="6"/>
      <c r="L468" s="6"/>
      <c r="N468" s="6"/>
      <c r="O468" s="6"/>
      <c r="P468" s="6"/>
      <c r="R468" s="6"/>
      <c r="V468" s="7"/>
      <c r="Z468" s="6"/>
      <c r="AA468" s="6"/>
      <c r="AB468" s="5"/>
    </row>
    <row r="469" spans="1:28" ht="12.75" customHeight="1" x14ac:dyDescent="0.2">
      <c r="A469" s="6"/>
      <c r="D469" s="6"/>
      <c r="F469" s="6"/>
      <c r="G469" s="6"/>
      <c r="H469" s="6"/>
      <c r="I469" s="6"/>
      <c r="K469" s="6"/>
      <c r="L469" s="6"/>
      <c r="N469" s="6"/>
      <c r="O469" s="6"/>
      <c r="P469" s="6"/>
      <c r="R469" s="6"/>
      <c r="V469" s="7"/>
      <c r="Z469" s="6"/>
      <c r="AA469" s="6"/>
      <c r="AB469" s="5"/>
    </row>
    <row r="470" spans="1:28" ht="12.75" customHeight="1" x14ac:dyDescent="0.2">
      <c r="A470" s="6"/>
      <c r="D470" s="6"/>
      <c r="F470" s="6"/>
      <c r="G470" s="6"/>
      <c r="H470" s="6"/>
      <c r="I470" s="6"/>
      <c r="K470" s="6"/>
      <c r="L470" s="6"/>
      <c r="N470" s="6"/>
      <c r="O470" s="6"/>
      <c r="P470" s="6"/>
      <c r="R470" s="6"/>
      <c r="V470" s="7"/>
      <c r="Z470" s="6"/>
      <c r="AA470" s="6"/>
      <c r="AB470" s="5"/>
    </row>
    <row r="471" spans="1:28" ht="12.75" customHeight="1" x14ac:dyDescent="0.2">
      <c r="A471" s="6"/>
      <c r="D471" s="6"/>
      <c r="F471" s="6"/>
      <c r="G471" s="6"/>
      <c r="H471" s="6"/>
      <c r="I471" s="6"/>
      <c r="K471" s="6"/>
      <c r="L471" s="6"/>
      <c r="N471" s="6"/>
      <c r="O471" s="6"/>
      <c r="P471" s="6"/>
      <c r="R471" s="6"/>
      <c r="V471" s="7"/>
      <c r="Z471" s="6"/>
      <c r="AA471" s="6"/>
      <c r="AB471" s="5"/>
    </row>
    <row r="472" spans="1:28" ht="12.75" customHeight="1" x14ac:dyDescent="0.2">
      <c r="A472" s="6"/>
      <c r="D472" s="6"/>
      <c r="F472" s="6"/>
      <c r="G472" s="6"/>
      <c r="H472" s="6"/>
      <c r="I472" s="6"/>
      <c r="K472" s="6"/>
      <c r="L472" s="6"/>
      <c r="N472" s="6"/>
      <c r="O472" s="6"/>
      <c r="P472" s="6"/>
      <c r="R472" s="6"/>
      <c r="V472" s="7"/>
      <c r="Z472" s="6"/>
      <c r="AA472" s="6"/>
      <c r="AB472" s="5"/>
    </row>
    <row r="473" spans="1:28" ht="12.75" customHeight="1" x14ac:dyDescent="0.2">
      <c r="A473" s="6"/>
      <c r="D473" s="6"/>
      <c r="F473" s="6"/>
      <c r="G473" s="6"/>
      <c r="H473" s="6"/>
      <c r="I473" s="6"/>
      <c r="K473" s="6"/>
      <c r="L473" s="6"/>
      <c r="N473" s="6"/>
      <c r="O473" s="6"/>
      <c r="P473" s="6"/>
      <c r="R473" s="6"/>
      <c r="V473" s="7"/>
      <c r="Z473" s="6"/>
      <c r="AA473" s="6"/>
      <c r="AB473" s="5"/>
    </row>
    <row r="474" spans="1:28" ht="12.75" customHeight="1" x14ac:dyDescent="0.2">
      <c r="A474" s="6"/>
      <c r="D474" s="6"/>
      <c r="F474" s="6"/>
      <c r="G474" s="6"/>
      <c r="H474" s="6"/>
      <c r="I474" s="6"/>
      <c r="K474" s="6"/>
      <c r="L474" s="6"/>
      <c r="N474" s="6"/>
      <c r="O474" s="6"/>
      <c r="P474" s="6"/>
      <c r="R474" s="6"/>
      <c r="V474" s="7"/>
      <c r="Z474" s="6"/>
      <c r="AA474" s="6"/>
      <c r="AB474" s="5"/>
    </row>
    <row r="475" spans="1:28" ht="12.75" customHeight="1" x14ac:dyDescent="0.2">
      <c r="A475" s="6"/>
      <c r="D475" s="6"/>
      <c r="F475" s="6"/>
      <c r="G475" s="6"/>
      <c r="H475" s="6"/>
      <c r="I475" s="6"/>
      <c r="K475" s="6"/>
      <c r="L475" s="6"/>
      <c r="N475" s="6"/>
      <c r="O475" s="6"/>
      <c r="P475" s="6"/>
      <c r="R475" s="6"/>
      <c r="V475" s="7"/>
      <c r="Z475" s="6"/>
      <c r="AA475" s="6"/>
      <c r="AB475" s="5"/>
    </row>
    <row r="476" spans="1:28" ht="12.75" customHeight="1" x14ac:dyDescent="0.2">
      <c r="A476" s="6"/>
      <c r="D476" s="6"/>
      <c r="F476" s="6"/>
      <c r="G476" s="6"/>
      <c r="H476" s="6"/>
      <c r="I476" s="6"/>
      <c r="K476" s="6"/>
      <c r="L476" s="6"/>
      <c r="N476" s="6"/>
      <c r="O476" s="6"/>
      <c r="P476" s="6"/>
      <c r="R476" s="6"/>
      <c r="V476" s="7"/>
      <c r="Z476" s="6"/>
      <c r="AA476" s="6"/>
      <c r="AB476" s="5"/>
    </row>
    <row r="477" spans="1:28" ht="12.75" customHeight="1" x14ac:dyDescent="0.2">
      <c r="A477" s="6"/>
      <c r="D477" s="6"/>
      <c r="F477" s="6"/>
      <c r="G477" s="6"/>
      <c r="H477" s="6"/>
      <c r="I477" s="6"/>
      <c r="K477" s="6"/>
      <c r="L477" s="6"/>
      <c r="N477" s="6"/>
      <c r="O477" s="6"/>
      <c r="P477" s="6"/>
      <c r="R477" s="6"/>
      <c r="V477" s="7"/>
      <c r="Z477" s="6"/>
      <c r="AA477" s="6"/>
      <c r="AB477" s="5"/>
    </row>
    <row r="478" spans="1:28" ht="12.75" customHeight="1" x14ac:dyDescent="0.2">
      <c r="A478" s="6"/>
      <c r="D478" s="6"/>
      <c r="F478" s="6"/>
      <c r="G478" s="6"/>
      <c r="H478" s="6"/>
      <c r="I478" s="6"/>
      <c r="K478" s="6"/>
      <c r="L478" s="6"/>
      <c r="N478" s="6"/>
      <c r="O478" s="6"/>
      <c r="P478" s="6"/>
      <c r="R478" s="6"/>
      <c r="V478" s="7"/>
      <c r="Z478" s="6"/>
      <c r="AA478" s="6"/>
      <c r="AB478" s="5"/>
    </row>
    <row r="479" spans="1:28" ht="12.75" customHeight="1" x14ac:dyDescent="0.2">
      <c r="A479" s="6"/>
      <c r="D479" s="6"/>
      <c r="F479" s="6"/>
      <c r="G479" s="6"/>
      <c r="H479" s="6"/>
      <c r="I479" s="6"/>
      <c r="K479" s="6"/>
      <c r="L479" s="6"/>
      <c r="N479" s="6"/>
      <c r="O479" s="6"/>
      <c r="P479" s="6"/>
      <c r="R479" s="6"/>
      <c r="V479" s="7"/>
      <c r="Z479" s="6"/>
      <c r="AA479" s="6"/>
      <c r="AB479" s="5"/>
    </row>
    <row r="480" spans="1:28" ht="12.75" customHeight="1" x14ac:dyDescent="0.2">
      <c r="A480" s="6"/>
      <c r="D480" s="6"/>
      <c r="F480" s="6"/>
      <c r="G480" s="6"/>
      <c r="H480" s="6"/>
      <c r="I480" s="6"/>
      <c r="K480" s="6"/>
      <c r="L480" s="6"/>
      <c r="N480" s="6"/>
      <c r="O480" s="6"/>
      <c r="P480" s="6"/>
      <c r="R480" s="6"/>
      <c r="V480" s="7"/>
      <c r="Z480" s="6"/>
      <c r="AA480" s="6"/>
      <c r="AB480" s="5"/>
    </row>
    <row r="481" spans="1:28" ht="12.75" customHeight="1" x14ac:dyDescent="0.2">
      <c r="A481" s="6"/>
      <c r="D481" s="6"/>
      <c r="F481" s="6"/>
      <c r="G481" s="6"/>
      <c r="H481" s="6"/>
      <c r="I481" s="6"/>
      <c r="K481" s="6"/>
      <c r="L481" s="6"/>
      <c r="N481" s="6"/>
      <c r="O481" s="6"/>
      <c r="P481" s="6"/>
      <c r="R481" s="6"/>
      <c r="V481" s="7"/>
      <c r="Z481" s="6"/>
      <c r="AA481" s="6"/>
      <c r="AB481" s="5"/>
    </row>
    <row r="482" spans="1:28" ht="12.75" customHeight="1" x14ac:dyDescent="0.2">
      <c r="A482" s="6"/>
      <c r="D482" s="6"/>
      <c r="F482" s="6"/>
      <c r="G482" s="6"/>
      <c r="H482" s="6"/>
      <c r="I482" s="6"/>
      <c r="K482" s="6"/>
      <c r="L482" s="6"/>
      <c r="N482" s="6"/>
      <c r="O482" s="6"/>
      <c r="P482" s="6"/>
      <c r="R482" s="6"/>
      <c r="V482" s="7"/>
      <c r="Z482" s="6"/>
      <c r="AA482" s="6"/>
      <c r="AB482" s="5"/>
    </row>
    <row r="483" spans="1:28" ht="12.75" customHeight="1" x14ac:dyDescent="0.2">
      <c r="A483" s="6"/>
      <c r="D483" s="6"/>
      <c r="F483" s="6"/>
      <c r="G483" s="6"/>
      <c r="H483" s="6"/>
      <c r="I483" s="6"/>
      <c r="K483" s="6"/>
      <c r="L483" s="6"/>
      <c r="N483" s="6"/>
      <c r="O483" s="6"/>
      <c r="P483" s="6"/>
      <c r="R483" s="6"/>
      <c r="V483" s="7"/>
      <c r="Z483" s="6"/>
      <c r="AA483" s="6"/>
      <c r="AB483" s="5"/>
    </row>
    <row r="484" spans="1:28" ht="12.75" customHeight="1" x14ac:dyDescent="0.2">
      <c r="A484" s="6"/>
      <c r="D484" s="6"/>
      <c r="F484" s="6"/>
      <c r="G484" s="6"/>
      <c r="H484" s="6"/>
      <c r="I484" s="6"/>
      <c r="K484" s="6"/>
      <c r="L484" s="6"/>
      <c r="N484" s="6"/>
      <c r="O484" s="6"/>
      <c r="P484" s="6"/>
      <c r="R484" s="6"/>
      <c r="V484" s="7"/>
      <c r="Z484" s="6"/>
      <c r="AA484" s="6"/>
      <c r="AB484" s="5"/>
    </row>
    <row r="485" spans="1:28" ht="12.75" customHeight="1" x14ac:dyDescent="0.2">
      <c r="A485" s="6"/>
      <c r="D485" s="6"/>
      <c r="F485" s="6"/>
      <c r="G485" s="6"/>
      <c r="H485" s="6"/>
      <c r="I485" s="6"/>
      <c r="K485" s="6"/>
      <c r="L485" s="6"/>
      <c r="N485" s="6"/>
      <c r="O485" s="6"/>
      <c r="P485" s="6"/>
      <c r="R485" s="6"/>
      <c r="V485" s="7"/>
      <c r="Z485" s="6"/>
      <c r="AA485" s="6"/>
      <c r="AB485" s="5"/>
    </row>
    <row r="486" spans="1:28" ht="12.75" customHeight="1" x14ac:dyDescent="0.2">
      <c r="A486" s="6"/>
      <c r="D486" s="6"/>
      <c r="F486" s="6"/>
      <c r="G486" s="6"/>
      <c r="H486" s="6"/>
      <c r="I486" s="6"/>
      <c r="K486" s="6"/>
      <c r="L486" s="6"/>
      <c r="N486" s="6"/>
      <c r="O486" s="6"/>
      <c r="P486" s="6"/>
      <c r="R486" s="6"/>
      <c r="V486" s="7"/>
      <c r="Z486" s="6"/>
      <c r="AA486" s="6"/>
      <c r="AB486" s="5"/>
    </row>
    <row r="487" spans="1:28" ht="12.75" customHeight="1" x14ac:dyDescent="0.2">
      <c r="A487" s="6"/>
      <c r="D487" s="6"/>
      <c r="F487" s="6"/>
      <c r="G487" s="6"/>
      <c r="H487" s="6"/>
      <c r="I487" s="6"/>
      <c r="K487" s="6"/>
      <c r="L487" s="6"/>
      <c r="N487" s="6"/>
      <c r="O487" s="6"/>
      <c r="P487" s="6"/>
      <c r="R487" s="6"/>
      <c r="V487" s="7"/>
      <c r="Z487" s="6"/>
      <c r="AA487" s="6"/>
      <c r="AB487" s="5"/>
    </row>
    <row r="488" spans="1:28" ht="12.75" customHeight="1" x14ac:dyDescent="0.2">
      <c r="A488" s="6"/>
      <c r="D488" s="6"/>
      <c r="F488" s="6"/>
      <c r="G488" s="6"/>
      <c r="H488" s="6"/>
      <c r="I488" s="6"/>
      <c r="K488" s="6"/>
      <c r="L488" s="6"/>
      <c r="N488" s="6"/>
      <c r="O488" s="6"/>
      <c r="P488" s="6"/>
      <c r="R488" s="6"/>
      <c r="V488" s="7"/>
      <c r="Z488" s="6"/>
      <c r="AA488" s="6"/>
      <c r="AB488" s="5"/>
    </row>
    <row r="489" spans="1:28" ht="12.75" customHeight="1" x14ac:dyDescent="0.2">
      <c r="A489" s="6"/>
      <c r="D489" s="6"/>
      <c r="F489" s="6"/>
      <c r="G489" s="6"/>
      <c r="H489" s="6"/>
      <c r="I489" s="6"/>
      <c r="K489" s="6"/>
      <c r="L489" s="6"/>
      <c r="N489" s="6"/>
      <c r="O489" s="6"/>
      <c r="P489" s="6"/>
      <c r="R489" s="6"/>
      <c r="V489" s="7"/>
      <c r="Z489" s="6"/>
      <c r="AA489" s="6"/>
      <c r="AB489" s="5"/>
    </row>
    <row r="490" spans="1:28" ht="12.75" customHeight="1" x14ac:dyDescent="0.2">
      <c r="A490" s="6"/>
      <c r="D490" s="6"/>
      <c r="F490" s="6"/>
      <c r="G490" s="6"/>
      <c r="H490" s="6"/>
      <c r="I490" s="6"/>
      <c r="K490" s="6"/>
      <c r="L490" s="6"/>
      <c r="N490" s="6"/>
      <c r="O490" s="6"/>
      <c r="P490" s="6"/>
      <c r="R490" s="6"/>
      <c r="V490" s="7"/>
      <c r="Z490" s="6"/>
      <c r="AA490" s="6"/>
      <c r="AB490" s="5"/>
    </row>
    <row r="491" spans="1:28" ht="12.75" customHeight="1" x14ac:dyDescent="0.2">
      <c r="A491" s="6"/>
      <c r="D491" s="6"/>
      <c r="F491" s="6"/>
      <c r="G491" s="6"/>
      <c r="H491" s="6"/>
      <c r="I491" s="6"/>
      <c r="K491" s="6"/>
      <c r="L491" s="6"/>
      <c r="N491" s="6"/>
      <c r="O491" s="6"/>
      <c r="P491" s="6"/>
      <c r="R491" s="6"/>
      <c r="V491" s="7"/>
      <c r="Z491" s="6"/>
      <c r="AA491" s="6"/>
      <c r="AB491" s="5"/>
    </row>
    <row r="492" spans="1:28" ht="12.75" customHeight="1" x14ac:dyDescent="0.2">
      <c r="A492" s="6"/>
      <c r="D492" s="6"/>
      <c r="F492" s="6"/>
      <c r="G492" s="6"/>
      <c r="H492" s="6"/>
      <c r="I492" s="6"/>
      <c r="K492" s="6"/>
      <c r="L492" s="6"/>
      <c r="N492" s="6"/>
      <c r="O492" s="6"/>
      <c r="P492" s="6"/>
      <c r="R492" s="6"/>
      <c r="V492" s="7"/>
      <c r="Z492" s="6"/>
      <c r="AA492" s="6"/>
      <c r="AB492" s="5"/>
    </row>
    <row r="493" spans="1:28" ht="12.75" customHeight="1" x14ac:dyDescent="0.2">
      <c r="A493" s="6"/>
      <c r="D493" s="6"/>
      <c r="F493" s="6"/>
      <c r="G493" s="6"/>
      <c r="H493" s="6"/>
      <c r="I493" s="6"/>
      <c r="K493" s="6"/>
      <c r="L493" s="6"/>
      <c r="N493" s="6"/>
      <c r="O493" s="6"/>
      <c r="P493" s="6"/>
      <c r="R493" s="6"/>
      <c r="V493" s="7"/>
      <c r="Z493" s="6"/>
      <c r="AA493" s="6"/>
      <c r="AB493" s="5"/>
    </row>
    <row r="494" spans="1:28" ht="12.75" customHeight="1" x14ac:dyDescent="0.2">
      <c r="A494" s="6"/>
      <c r="D494" s="6"/>
      <c r="F494" s="6"/>
      <c r="G494" s="6"/>
      <c r="H494" s="6"/>
      <c r="I494" s="6"/>
      <c r="K494" s="6"/>
      <c r="L494" s="6"/>
      <c r="N494" s="6"/>
      <c r="O494" s="6"/>
      <c r="P494" s="6"/>
      <c r="R494" s="6"/>
      <c r="V494" s="7"/>
      <c r="Z494" s="6"/>
      <c r="AA494" s="6"/>
      <c r="AB494" s="5"/>
    </row>
    <row r="495" spans="1:28" ht="12.75" customHeight="1" x14ac:dyDescent="0.2">
      <c r="A495" s="6"/>
      <c r="D495" s="6"/>
      <c r="F495" s="6"/>
      <c r="G495" s="6"/>
      <c r="H495" s="6"/>
      <c r="I495" s="6"/>
      <c r="K495" s="6"/>
      <c r="L495" s="6"/>
      <c r="N495" s="6"/>
      <c r="O495" s="6"/>
      <c r="P495" s="6"/>
      <c r="R495" s="6"/>
      <c r="V495" s="7"/>
      <c r="Z495" s="6"/>
      <c r="AA495" s="6"/>
      <c r="AB495" s="5"/>
    </row>
    <row r="496" spans="1:28" ht="12.75" customHeight="1" x14ac:dyDescent="0.2">
      <c r="A496" s="6"/>
      <c r="D496" s="6"/>
      <c r="F496" s="6"/>
      <c r="G496" s="6"/>
      <c r="H496" s="6"/>
      <c r="I496" s="6"/>
      <c r="K496" s="6"/>
      <c r="L496" s="6"/>
      <c r="N496" s="6"/>
      <c r="O496" s="6"/>
      <c r="P496" s="6"/>
      <c r="R496" s="6"/>
      <c r="V496" s="7"/>
      <c r="Z496" s="6"/>
      <c r="AA496" s="6"/>
      <c r="AB496" s="5"/>
    </row>
    <row r="497" spans="1:28" ht="12.75" customHeight="1" x14ac:dyDescent="0.2">
      <c r="A497" s="6"/>
      <c r="D497" s="6"/>
      <c r="F497" s="6"/>
      <c r="G497" s="6"/>
      <c r="H497" s="6"/>
      <c r="I497" s="6"/>
      <c r="K497" s="6"/>
      <c r="L497" s="6"/>
      <c r="N497" s="6"/>
      <c r="O497" s="6"/>
      <c r="P497" s="6"/>
      <c r="R497" s="6"/>
      <c r="V497" s="7"/>
      <c r="Z497" s="6"/>
      <c r="AA497" s="6"/>
      <c r="AB497" s="5"/>
    </row>
    <row r="498" spans="1:28" ht="12.75" customHeight="1" x14ac:dyDescent="0.2">
      <c r="A498" s="6"/>
      <c r="D498" s="6"/>
      <c r="F498" s="6"/>
      <c r="G498" s="6"/>
      <c r="H498" s="6"/>
      <c r="I498" s="6"/>
      <c r="K498" s="6"/>
      <c r="L498" s="6"/>
      <c r="N498" s="6"/>
      <c r="O498" s="6"/>
      <c r="P498" s="6"/>
      <c r="R498" s="6"/>
      <c r="V498" s="7"/>
      <c r="Z498" s="6"/>
      <c r="AA498" s="6"/>
      <c r="AB498" s="5"/>
    </row>
    <row r="499" spans="1:28" ht="12.75" customHeight="1" x14ac:dyDescent="0.2">
      <c r="A499" s="6"/>
      <c r="D499" s="6"/>
      <c r="F499" s="6"/>
      <c r="G499" s="6"/>
      <c r="H499" s="6"/>
      <c r="I499" s="6"/>
      <c r="K499" s="6"/>
      <c r="L499" s="6"/>
      <c r="N499" s="6"/>
      <c r="O499" s="6"/>
      <c r="P499" s="6"/>
      <c r="R499" s="6"/>
      <c r="V499" s="7"/>
      <c r="Z499" s="6"/>
      <c r="AA499" s="6"/>
      <c r="AB499" s="5"/>
    </row>
    <row r="500" spans="1:28" ht="12.75" customHeight="1" x14ac:dyDescent="0.2">
      <c r="A500" s="6"/>
      <c r="D500" s="6"/>
      <c r="F500" s="6"/>
      <c r="G500" s="6"/>
      <c r="H500" s="6"/>
      <c r="I500" s="6"/>
      <c r="K500" s="6"/>
      <c r="L500" s="6"/>
      <c r="N500" s="6"/>
      <c r="O500" s="6"/>
      <c r="P500" s="6"/>
      <c r="R500" s="6"/>
      <c r="V500" s="7"/>
      <c r="Z500" s="6"/>
      <c r="AA500" s="6"/>
      <c r="AB500" s="5"/>
    </row>
    <row r="501" spans="1:28" ht="12.75" customHeight="1" x14ac:dyDescent="0.2">
      <c r="A501" s="6"/>
      <c r="D501" s="6"/>
      <c r="F501" s="6"/>
      <c r="G501" s="6"/>
      <c r="H501" s="6"/>
      <c r="I501" s="6"/>
      <c r="K501" s="6"/>
      <c r="L501" s="6"/>
      <c r="N501" s="6"/>
      <c r="O501" s="6"/>
      <c r="P501" s="6"/>
      <c r="R501" s="6"/>
      <c r="V501" s="7"/>
      <c r="Z501" s="6"/>
      <c r="AA501" s="6"/>
      <c r="AB501" s="5"/>
    </row>
    <row r="502" spans="1:28" ht="12.75" customHeight="1" x14ac:dyDescent="0.2">
      <c r="A502" s="6"/>
      <c r="D502" s="6"/>
      <c r="F502" s="6"/>
      <c r="G502" s="6"/>
      <c r="H502" s="6"/>
      <c r="I502" s="6"/>
      <c r="K502" s="6"/>
      <c r="L502" s="6"/>
      <c r="N502" s="6"/>
      <c r="O502" s="6"/>
      <c r="P502" s="6"/>
      <c r="R502" s="6"/>
      <c r="V502" s="7"/>
      <c r="Z502" s="6"/>
      <c r="AA502" s="6"/>
      <c r="AB502" s="5"/>
    </row>
    <row r="503" spans="1:28" ht="12.75" customHeight="1" x14ac:dyDescent="0.2">
      <c r="A503" s="6"/>
      <c r="D503" s="6"/>
      <c r="F503" s="6"/>
      <c r="G503" s="6"/>
      <c r="H503" s="6"/>
      <c r="I503" s="6"/>
      <c r="K503" s="6"/>
      <c r="L503" s="6"/>
      <c r="N503" s="6"/>
      <c r="O503" s="6"/>
      <c r="P503" s="6"/>
      <c r="R503" s="6"/>
      <c r="V503" s="7"/>
      <c r="Z503" s="6"/>
      <c r="AA503" s="6"/>
      <c r="AB503" s="5"/>
    </row>
    <row r="504" spans="1:28" ht="12.75" customHeight="1" x14ac:dyDescent="0.2">
      <c r="A504" s="6"/>
      <c r="D504" s="6"/>
      <c r="F504" s="6"/>
      <c r="G504" s="6"/>
      <c r="H504" s="6"/>
      <c r="I504" s="6"/>
      <c r="K504" s="6"/>
      <c r="L504" s="6"/>
      <c r="N504" s="6"/>
      <c r="O504" s="6"/>
      <c r="P504" s="6"/>
      <c r="R504" s="6"/>
      <c r="V504" s="7"/>
      <c r="Z504" s="6"/>
      <c r="AA504" s="6"/>
      <c r="AB504" s="5"/>
    </row>
    <row r="505" spans="1:28" ht="12.75" customHeight="1" x14ac:dyDescent="0.2">
      <c r="A505" s="6"/>
      <c r="D505" s="6"/>
      <c r="F505" s="6"/>
      <c r="G505" s="6"/>
      <c r="H505" s="6"/>
      <c r="I505" s="6"/>
      <c r="K505" s="6"/>
      <c r="L505" s="6"/>
      <c r="N505" s="6"/>
      <c r="O505" s="6"/>
      <c r="P505" s="6"/>
      <c r="R505" s="6"/>
      <c r="V505" s="7"/>
      <c r="Z505" s="6"/>
      <c r="AA505" s="6"/>
      <c r="AB505" s="5"/>
    </row>
    <row r="506" spans="1:28" ht="12.75" customHeight="1" x14ac:dyDescent="0.2">
      <c r="A506" s="6"/>
      <c r="D506" s="6"/>
      <c r="F506" s="6"/>
      <c r="G506" s="6"/>
      <c r="H506" s="6"/>
      <c r="I506" s="6"/>
      <c r="K506" s="6"/>
      <c r="L506" s="6"/>
      <c r="N506" s="6"/>
      <c r="O506" s="6"/>
      <c r="P506" s="6"/>
      <c r="R506" s="6"/>
      <c r="V506" s="7"/>
      <c r="Z506" s="6"/>
      <c r="AA506" s="6"/>
      <c r="AB506" s="5"/>
    </row>
    <row r="507" spans="1:28" ht="12.75" customHeight="1" x14ac:dyDescent="0.2">
      <c r="A507" s="6"/>
      <c r="D507" s="6"/>
      <c r="F507" s="6"/>
      <c r="G507" s="6"/>
      <c r="H507" s="6"/>
      <c r="I507" s="6"/>
      <c r="K507" s="6"/>
      <c r="L507" s="6"/>
      <c r="N507" s="6"/>
      <c r="O507" s="6"/>
      <c r="P507" s="6"/>
      <c r="R507" s="6"/>
      <c r="V507" s="7"/>
      <c r="Z507" s="6"/>
      <c r="AA507" s="6"/>
      <c r="AB507" s="5"/>
    </row>
    <row r="508" spans="1:28" ht="12.75" customHeight="1" x14ac:dyDescent="0.2">
      <c r="A508" s="6"/>
      <c r="D508" s="6"/>
      <c r="F508" s="6"/>
      <c r="G508" s="6"/>
      <c r="H508" s="6"/>
      <c r="I508" s="6"/>
      <c r="K508" s="6"/>
      <c r="L508" s="6"/>
      <c r="N508" s="6"/>
      <c r="O508" s="6"/>
      <c r="P508" s="6"/>
      <c r="R508" s="6"/>
      <c r="V508" s="7"/>
      <c r="Z508" s="6"/>
      <c r="AA508" s="6"/>
      <c r="AB508" s="5"/>
    </row>
    <row r="509" spans="1:28" ht="12.75" customHeight="1" x14ac:dyDescent="0.2">
      <c r="A509" s="6"/>
      <c r="D509" s="6"/>
      <c r="F509" s="6"/>
      <c r="G509" s="6"/>
      <c r="H509" s="6"/>
      <c r="I509" s="6"/>
      <c r="K509" s="6"/>
      <c r="L509" s="6"/>
      <c r="N509" s="6"/>
      <c r="O509" s="6"/>
      <c r="P509" s="6"/>
      <c r="R509" s="6"/>
      <c r="V509" s="7"/>
      <c r="Z509" s="6"/>
      <c r="AA509" s="6"/>
      <c r="AB509" s="5"/>
    </row>
    <row r="510" spans="1:28" ht="12.75" customHeight="1" x14ac:dyDescent="0.2">
      <c r="A510" s="6"/>
      <c r="D510" s="6"/>
      <c r="F510" s="6"/>
      <c r="G510" s="6"/>
      <c r="H510" s="6"/>
      <c r="I510" s="6"/>
      <c r="K510" s="6"/>
      <c r="L510" s="6"/>
      <c r="N510" s="6"/>
      <c r="O510" s="6"/>
      <c r="P510" s="6"/>
      <c r="R510" s="6"/>
      <c r="V510" s="7"/>
      <c r="Z510" s="6"/>
      <c r="AA510" s="6"/>
      <c r="AB510" s="5"/>
    </row>
    <row r="511" spans="1:28" ht="12.75" customHeight="1" x14ac:dyDescent="0.2">
      <c r="A511" s="6"/>
      <c r="D511" s="6"/>
      <c r="F511" s="6"/>
      <c r="G511" s="6"/>
      <c r="H511" s="6"/>
      <c r="I511" s="6"/>
      <c r="K511" s="6"/>
      <c r="L511" s="6"/>
      <c r="N511" s="6"/>
      <c r="O511" s="6"/>
      <c r="P511" s="6"/>
      <c r="R511" s="6"/>
      <c r="V511" s="7"/>
      <c r="Z511" s="6"/>
      <c r="AA511" s="6"/>
      <c r="AB511" s="5"/>
    </row>
    <row r="512" spans="1:28" ht="12.75" customHeight="1" x14ac:dyDescent="0.2">
      <c r="A512" s="6"/>
      <c r="D512" s="6"/>
      <c r="F512" s="6"/>
      <c r="G512" s="6"/>
      <c r="H512" s="6"/>
      <c r="I512" s="6"/>
      <c r="K512" s="6"/>
      <c r="L512" s="6"/>
      <c r="N512" s="6"/>
      <c r="O512" s="6"/>
      <c r="P512" s="6"/>
      <c r="R512" s="6"/>
      <c r="V512" s="7"/>
      <c r="Z512" s="6"/>
      <c r="AA512" s="6"/>
      <c r="AB512" s="5"/>
    </row>
    <row r="513" spans="1:28" ht="12.75" customHeight="1" x14ac:dyDescent="0.2">
      <c r="A513" s="6"/>
      <c r="D513" s="6"/>
      <c r="F513" s="6"/>
      <c r="G513" s="6"/>
      <c r="H513" s="6"/>
      <c r="I513" s="6"/>
      <c r="K513" s="6"/>
      <c r="L513" s="6"/>
      <c r="N513" s="6"/>
      <c r="O513" s="6"/>
      <c r="P513" s="6"/>
      <c r="R513" s="6"/>
      <c r="V513" s="7"/>
      <c r="Z513" s="6"/>
      <c r="AA513" s="6"/>
      <c r="AB513" s="5"/>
    </row>
    <row r="514" spans="1:28" ht="12.75" customHeight="1" x14ac:dyDescent="0.2">
      <c r="A514" s="6"/>
      <c r="D514" s="6"/>
      <c r="F514" s="6"/>
      <c r="G514" s="6"/>
      <c r="H514" s="6"/>
      <c r="I514" s="6"/>
      <c r="K514" s="6"/>
      <c r="L514" s="6"/>
      <c r="N514" s="6"/>
      <c r="O514" s="6"/>
      <c r="P514" s="6"/>
      <c r="R514" s="6"/>
      <c r="V514" s="7"/>
      <c r="Z514" s="6"/>
      <c r="AA514" s="6"/>
      <c r="AB514" s="5"/>
    </row>
    <row r="515" spans="1:28" ht="12.75" customHeight="1" x14ac:dyDescent="0.2">
      <c r="A515" s="6"/>
      <c r="D515" s="6"/>
      <c r="F515" s="6"/>
      <c r="G515" s="6"/>
      <c r="H515" s="6"/>
      <c r="I515" s="6"/>
      <c r="K515" s="6"/>
      <c r="L515" s="6"/>
      <c r="N515" s="6"/>
      <c r="O515" s="6"/>
      <c r="P515" s="6"/>
      <c r="R515" s="6"/>
      <c r="V515" s="7"/>
      <c r="Z515" s="6"/>
      <c r="AA515" s="6"/>
      <c r="AB515" s="5"/>
    </row>
    <row r="516" spans="1:28" ht="12.75" customHeight="1" x14ac:dyDescent="0.2">
      <c r="A516" s="6"/>
      <c r="D516" s="6"/>
      <c r="F516" s="6"/>
      <c r="G516" s="6"/>
      <c r="H516" s="6"/>
      <c r="I516" s="6"/>
      <c r="K516" s="6"/>
      <c r="L516" s="6"/>
      <c r="N516" s="6"/>
      <c r="O516" s="6"/>
      <c r="P516" s="6"/>
      <c r="R516" s="6"/>
      <c r="V516" s="7"/>
      <c r="Z516" s="6"/>
      <c r="AA516" s="6"/>
      <c r="AB516" s="5"/>
    </row>
    <row r="517" spans="1:28" ht="12.75" customHeight="1" x14ac:dyDescent="0.2">
      <c r="A517" s="6"/>
      <c r="D517" s="6"/>
      <c r="F517" s="6"/>
      <c r="G517" s="6"/>
      <c r="H517" s="6"/>
      <c r="I517" s="6"/>
      <c r="K517" s="6"/>
      <c r="L517" s="6"/>
      <c r="N517" s="6"/>
      <c r="O517" s="6"/>
      <c r="P517" s="6"/>
      <c r="R517" s="6"/>
      <c r="V517" s="7"/>
      <c r="Z517" s="6"/>
      <c r="AA517" s="6"/>
      <c r="AB517" s="5"/>
    </row>
    <row r="518" spans="1:28" ht="12.75" customHeight="1" x14ac:dyDescent="0.2">
      <c r="A518" s="6"/>
      <c r="D518" s="6"/>
      <c r="F518" s="6"/>
      <c r="G518" s="6"/>
      <c r="H518" s="6"/>
      <c r="I518" s="6"/>
      <c r="K518" s="6"/>
      <c r="L518" s="6"/>
      <c r="N518" s="6"/>
      <c r="O518" s="6"/>
      <c r="P518" s="6"/>
      <c r="R518" s="6"/>
      <c r="V518" s="7"/>
      <c r="Z518" s="6"/>
      <c r="AA518" s="6"/>
      <c r="AB518" s="5"/>
    </row>
    <row r="519" spans="1:28" ht="12.75" customHeight="1" x14ac:dyDescent="0.2">
      <c r="A519" s="6"/>
      <c r="D519" s="6"/>
      <c r="F519" s="6"/>
      <c r="G519" s="6"/>
      <c r="H519" s="6"/>
      <c r="I519" s="6"/>
      <c r="K519" s="6"/>
      <c r="L519" s="6"/>
      <c r="N519" s="6"/>
      <c r="O519" s="6"/>
      <c r="P519" s="6"/>
      <c r="R519" s="6"/>
      <c r="V519" s="7"/>
      <c r="Z519" s="6"/>
      <c r="AA519" s="6"/>
      <c r="AB519" s="5"/>
    </row>
    <row r="520" spans="1:28" ht="12.75" customHeight="1" x14ac:dyDescent="0.2">
      <c r="A520" s="6"/>
      <c r="D520" s="6"/>
      <c r="F520" s="6"/>
      <c r="G520" s="6"/>
      <c r="H520" s="6"/>
      <c r="I520" s="6"/>
      <c r="K520" s="6"/>
      <c r="L520" s="6"/>
      <c r="N520" s="6"/>
      <c r="O520" s="6"/>
      <c r="P520" s="6"/>
      <c r="R520" s="6"/>
      <c r="V520" s="7"/>
      <c r="Z520" s="6"/>
      <c r="AA520" s="6"/>
      <c r="AB520" s="5"/>
    </row>
    <row r="521" spans="1:28" ht="12.75" customHeight="1" x14ac:dyDescent="0.2">
      <c r="A521" s="6"/>
      <c r="D521" s="6"/>
      <c r="F521" s="6"/>
      <c r="G521" s="6"/>
      <c r="H521" s="6"/>
      <c r="I521" s="6"/>
      <c r="K521" s="6"/>
      <c r="L521" s="6"/>
      <c r="N521" s="6"/>
      <c r="O521" s="6"/>
      <c r="P521" s="6"/>
      <c r="R521" s="6"/>
      <c r="V521" s="7"/>
      <c r="Z521" s="6"/>
      <c r="AA521" s="6"/>
      <c r="AB521" s="5"/>
    </row>
    <row r="522" spans="1:28" ht="12.75" customHeight="1" x14ac:dyDescent="0.2">
      <c r="A522" s="6"/>
      <c r="D522" s="6"/>
      <c r="F522" s="6"/>
      <c r="G522" s="6"/>
      <c r="H522" s="6"/>
      <c r="I522" s="6"/>
      <c r="K522" s="6"/>
      <c r="L522" s="6"/>
      <c r="N522" s="6"/>
      <c r="O522" s="6"/>
      <c r="P522" s="6"/>
      <c r="R522" s="6"/>
      <c r="V522" s="7"/>
      <c r="Z522" s="6"/>
      <c r="AA522" s="6"/>
      <c r="AB522" s="5"/>
    </row>
    <row r="523" spans="1:28" ht="12.75" customHeight="1" x14ac:dyDescent="0.2">
      <c r="A523" s="6"/>
      <c r="D523" s="6"/>
      <c r="F523" s="6"/>
      <c r="G523" s="6"/>
      <c r="H523" s="6"/>
      <c r="I523" s="6"/>
      <c r="K523" s="6"/>
      <c r="L523" s="6"/>
      <c r="N523" s="6"/>
      <c r="O523" s="6"/>
      <c r="P523" s="6"/>
      <c r="R523" s="6"/>
      <c r="V523" s="7"/>
      <c r="Z523" s="6"/>
      <c r="AA523" s="6"/>
      <c r="AB523" s="5"/>
    </row>
    <row r="524" spans="1:28" ht="12.75" customHeight="1" x14ac:dyDescent="0.2">
      <c r="A524" s="6"/>
      <c r="D524" s="6"/>
      <c r="F524" s="6"/>
      <c r="G524" s="6"/>
      <c r="H524" s="6"/>
      <c r="I524" s="6"/>
      <c r="K524" s="6"/>
      <c r="L524" s="6"/>
      <c r="N524" s="6"/>
      <c r="O524" s="6"/>
      <c r="P524" s="6"/>
      <c r="R524" s="6"/>
      <c r="V524" s="7"/>
      <c r="Z524" s="6"/>
      <c r="AA524" s="6"/>
      <c r="AB524" s="5"/>
    </row>
    <row r="525" spans="1:28" ht="12.75" customHeight="1" x14ac:dyDescent="0.2">
      <c r="A525" s="6"/>
      <c r="D525" s="6"/>
      <c r="F525" s="6"/>
      <c r="G525" s="6"/>
      <c r="H525" s="6"/>
      <c r="I525" s="6"/>
      <c r="K525" s="6"/>
      <c r="L525" s="6"/>
      <c r="N525" s="6"/>
      <c r="O525" s="6"/>
      <c r="P525" s="6"/>
      <c r="R525" s="6"/>
      <c r="V525" s="7"/>
      <c r="Z525" s="6"/>
      <c r="AA525" s="6"/>
      <c r="AB525" s="5"/>
    </row>
    <row r="526" spans="1:28" ht="12.75" customHeight="1" x14ac:dyDescent="0.2">
      <c r="A526" s="6"/>
      <c r="D526" s="6"/>
      <c r="F526" s="6"/>
      <c r="G526" s="6"/>
      <c r="H526" s="6"/>
      <c r="I526" s="6"/>
      <c r="K526" s="6"/>
      <c r="L526" s="6"/>
      <c r="N526" s="6"/>
      <c r="O526" s="6"/>
      <c r="P526" s="6"/>
      <c r="R526" s="6"/>
      <c r="V526" s="7"/>
      <c r="Z526" s="6"/>
      <c r="AA526" s="6"/>
      <c r="AB526" s="5"/>
    </row>
    <row r="527" spans="1:28" ht="12.75" customHeight="1" x14ac:dyDescent="0.2">
      <c r="A527" s="6"/>
      <c r="D527" s="6"/>
      <c r="F527" s="6"/>
      <c r="G527" s="6"/>
      <c r="H527" s="6"/>
      <c r="I527" s="6"/>
      <c r="K527" s="6"/>
      <c r="L527" s="6"/>
      <c r="N527" s="6"/>
      <c r="O527" s="6"/>
      <c r="P527" s="6"/>
      <c r="R527" s="6"/>
      <c r="V527" s="7"/>
      <c r="Z527" s="6"/>
      <c r="AA527" s="6"/>
      <c r="AB527" s="5"/>
    </row>
    <row r="528" spans="1:28" ht="12.75" customHeight="1" x14ac:dyDescent="0.2">
      <c r="A528" s="6"/>
      <c r="D528" s="6"/>
      <c r="F528" s="6"/>
      <c r="G528" s="6"/>
      <c r="H528" s="6"/>
      <c r="I528" s="6"/>
      <c r="K528" s="6"/>
      <c r="L528" s="6"/>
      <c r="N528" s="6"/>
      <c r="O528" s="6"/>
      <c r="P528" s="6"/>
      <c r="R528" s="6"/>
      <c r="V528" s="7"/>
      <c r="Z528" s="6"/>
      <c r="AA528" s="6"/>
      <c r="AB528" s="5"/>
    </row>
    <row r="529" spans="1:28" ht="12.75" customHeight="1" x14ac:dyDescent="0.2">
      <c r="A529" s="6"/>
      <c r="D529" s="6"/>
      <c r="F529" s="6"/>
      <c r="G529" s="6"/>
      <c r="H529" s="6"/>
      <c r="I529" s="6"/>
      <c r="K529" s="6"/>
      <c r="L529" s="6"/>
      <c r="N529" s="6"/>
      <c r="O529" s="6"/>
      <c r="P529" s="6"/>
      <c r="R529" s="6"/>
      <c r="V529" s="7"/>
      <c r="Z529" s="6"/>
      <c r="AA529" s="6"/>
      <c r="AB529" s="5"/>
    </row>
    <row r="530" spans="1:28" ht="12.75" customHeight="1" x14ac:dyDescent="0.2">
      <c r="A530" s="6"/>
      <c r="D530" s="6"/>
      <c r="F530" s="6"/>
      <c r="G530" s="6"/>
      <c r="H530" s="6"/>
      <c r="I530" s="6"/>
      <c r="K530" s="6"/>
      <c r="L530" s="6"/>
      <c r="N530" s="6"/>
      <c r="O530" s="6"/>
      <c r="P530" s="6"/>
      <c r="R530" s="6"/>
      <c r="V530" s="7"/>
      <c r="Z530" s="6"/>
      <c r="AA530" s="6"/>
      <c r="AB530" s="5"/>
    </row>
    <row r="531" spans="1:28" ht="12.75" customHeight="1" x14ac:dyDescent="0.2">
      <c r="A531" s="6"/>
      <c r="D531" s="6"/>
      <c r="F531" s="6"/>
      <c r="G531" s="6"/>
      <c r="H531" s="6"/>
      <c r="I531" s="6"/>
      <c r="K531" s="6"/>
      <c r="L531" s="6"/>
      <c r="N531" s="6"/>
      <c r="O531" s="6"/>
      <c r="P531" s="6"/>
      <c r="R531" s="6"/>
      <c r="V531" s="7"/>
      <c r="Z531" s="6"/>
      <c r="AA531" s="6"/>
      <c r="AB531" s="5"/>
    </row>
    <row r="532" spans="1:28" ht="12.75" customHeight="1" x14ac:dyDescent="0.2">
      <c r="A532" s="6"/>
      <c r="D532" s="6"/>
      <c r="F532" s="6"/>
      <c r="G532" s="6"/>
      <c r="H532" s="6"/>
      <c r="I532" s="6"/>
      <c r="K532" s="6"/>
      <c r="L532" s="6"/>
      <c r="N532" s="6"/>
      <c r="O532" s="6"/>
      <c r="P532" s="6"/>
      <c r="R532" s="6"/>
      <c r="V532" s="7"/>
      <c r="Z532" s="6"/>
      <c r="AA532" s="6"/>
      <c r="AB532" s="5"/>
    </row>
    <row r="533" spans="1:28" ht="12.75" customHeight="1" x14ac:dyDescent="0.2">
      <c r="A533" s="6"/>
      <c r="D533" s="6"/>
      <c r="F533" s="6"/>
      <c r="G533" s="6"/>
      <c r="H533" s="6"/>
      <c r="I533" s="6"/>
      <c r="K533" s="6"/>
      <c r="L533" s="6"/>
      <c r="N533" s="6"/>
      <c r="O533" s="6"/>
      <c r="P533" s="6"/>
      <c r="R533" s="6"/>
      <c r="V533" s="7"/>
      <c r="Z533" s="6"/>
      <c r="AA533" s="6"/>
      <c r="AB533" s="5"/>
    </row>
    <row r="534" spans="1:28" ht="12.75" customHeight="1" x14ac:dyDescent="0.2">
      <c r="A534" s="6"/>
      <c r="D534" s="6"/>
      <c r="F534" s="6"/>
      <c r="G534" s="6"/>
      <c r="H534" s="6"/>
      <c r="I534" s="6"/>
      <c r="K534" s="6"/>
      <c r="L534" s="6"/>
      <c r="N534" s="6"/>
      <c r="O534" s="6"/>
      <c r="P534" s="6"/>
      <c r="R534" s="6"/>
      <c r="V534" s="7"/>
      <c r="Z534" s="6"/>
      <c r="AA534" s="6"/>
      <c r="AB534" s="5"/>
    </row>
    <row r="535" spans="1:28" ht="12.75" customHeight="1" x14ac:dyDescent="0.2">
      <c r="A535" s="6"/>
      <c r="D535" s="6"/>
      <c r="F535" s="6"/>
      <c r="G535" s="6"/>
      <c r="H535" s="6"/>
      <c r="I535" s="6"/>
      <c r="K535" s="6"/>
      <c r="L535" s="6"/>
      <c r="N535" s="6"/>
      <c r="O535" s="6"/>
      <c r="P535" s="6"/>
      <c r="R535" s="6"/>
      <c r="V535" s="7"/>
      <c r="Z535" s="6"/>
      <c r="AA535" s="6"/>
      <c r="AB535" s="5"/>
    </row>
    <row r="536" spans="1:28" ht="12.75" customHeight="1" x14ac:dyDescent="0.2">
      <c r="A536" s="6"/>
      <c r="D536" s="6"/>
      <c r="F536" s="6"/>
      <c r="G536" s="6"/>
      <c r="H536" s="6"/>
      <c r="I536" s="6"/>
      <c r="K536" s="6"/>
      <c r="L536" s="6"/>
      <c r="N536" s="6"/>
      <c r="O536" s="6"/>
      <c r="P536" s="6"/>
      <c r="R536" s="6"/>
      <c r="V536" s="7"/>
      <c r="Z536" s="6"/>
      <c r="AA536" s="6"/>
      <c r="AB536" s="5"/>
    </row>
    <row r="537" spans="1:28" ht="12.75" customHeight="1" x14ac:dyDescent="0.2">
      <c r="A537" s="6"/>
      <c r="D537" s="6"/>
      <c r="F537" s="6"/>
      <c r="G537" s="6"/>
      <c r="H537" s="6"/>
      <c r="I537" s="6"/>
      <c r="K537" s="6"/>
      <c r="L537" s="6"/>
      <c r="N537" s="6"/>
      <c r="O537" s="6"/>
      <c r="P537" s="6"/>
      <c r="R537" s="6"/>
      <c r="V537" s="7"/>
      <c r="Z537" s="6"/>
      <c r="AA537" s="6"/>
      <c r="AB537" s="5"/>
    </row>
    <row r="538" spans="1:28" ht="12.75" customHeight="1" x14ac:dyDescent="0.2">
      <c r="A538" s="6"/>
      <c r="D538" s="6"/>
      <c r="F538" s="6"/>
      <c r="G538" s="6"/>
      <c r="H538" s="6"/>
      <c r="I538" s="6"/>
      <c r="K538" s="6"/>
      <c r="L538" s="6"/>
      <c r="N538" s="6"/>
      <c r="O538" s="6"/>
      <c r="P538" s="6"/>
      <c r="R538" s="6"/>
      <c r="V538" s="7"/>
      <c r="Z538" s="6"/>
      <c r="AA538" s="6"/>
      <c r="AB538" s="5"/>
    </row>
    <row r="539" spans="1:28" ht="12.75" customHeight="1" x14ac:dyDescent="0.2">
      <c r="A539" s="6"/>
      <c r="D539" s="6"/>
      <c r="F539" s="6"/>
      <c r="G539" s="6"/>
      <c r="H539" s="6"/>
      <c r="I539" s="6"/>
      <c r="K539" s="6"/>
      <c r="L539" s="6"/>
      <c r="N539" s="6"/>
      <c r="O539" s="6"/>
      <c r="P539" s="6"/>
      <c r="R539" s="6"/>
      <c r="V539" s="7"/>
      <c r="Z539" s="6"/>
      <c r="AA539" s="6"/>
      <c r="AB539" s="5"/>
    </row>
    <row r="540" spans="1:28" ht="12.75" customHeight="1" x14ac:dyDescent="0.2">
      <c r="A540" s="6"/>
      <c r="D540" s="6"/>
      <c r="F540" s="6"/>
      <c r="G540" s="6"/>
      <c r="H540" s="6"/>
      <c r="I540" s="6"/>
      <c r="K540" s="6"/>
      <c r="L540" s="6"/>
      <c r="N540" s="6"/>
      <c r="O540" s="6"/>
      <c r="P540" s="6"/>
      <c r="R540" s="6"/>
      <c r="V540" s="7"/>
      <c r="Z540" s="6"/>
      <c r="AA540" s="6"/>
      <c r="AB540" s="5"/>
    </row>
    <row r="541" spans="1:28" ht="12.75" customHeight="1" x14ac:dyDescent="0.2">
      <c r="A541" s="6"/>
      <c r="D541" s="6"/>
      <c r="F541" s="6"/>
      <c r="G541" s="6"/>
      <c r="H541" s="6"/>
      <c r="I541" s="6"/>
      <c r="K541" s="6"/>
      <c r="L541" s="6"/>
      <c r="N541" s="6"/>
      <c r="O541" s="6"/>
      <c r="P541" s="6"/>
      <c r="R541" s="6"/>
      <c r="V541" s="7"/>
      <c r="Z541" s="6"/>
      <c r="AA541" s="6"/>
      <c r="AB541" s="5"/>
    </row>
    <row r="542" spans="1:28" ht="12.75" customHeight="1" x14ac:dyDescent="0.2">
      <c r="A542" s="6"/>
      <c r="D542" s="6"/>
      <c r="F542" s="6"/>
      <c r="G542" s="6"/>
      <c r="H542" s="6"/>
      <c r="I542" s="6"/>
      <c r="K542" s="6"/>
      <c r="L542" s="6"/>
      <c r="N542" s="6"/>
      <c r="O542" s="6"/>
      <c r="P542" s="6"/>
      <c r="R542" s="6"/>
      <c r="V542" s="7"/>
      <c r="Z542" s="6"/>
      <c r="AA542" s="6"/>
      <c r="AB542" s="5"/>
    </row>
    <row r="543" spans="1:28" ht="12.75" customHeight="1" x14ac:dyDescent="0.2">
      <c r="A543" s="6"/>
      <c r="D543" s="6"/>
      <c r="F543" s="6"/>
      <c r="G543" s="6"/>
      <c r="H543" s="6"/>
      <c r="I543" s="6"/>
      <c r="K543" s="6"/>
      <c r="L543" s="6"/>
      <c r="N543" s="6"/>
      <c r="O543" s="6"/>
      <c r="P543" s="6"/>
      <c r="R543" s="6"/>
      <c r="V543" s="7"/>
      <c r="Z543" s="6"/>
      <c r="AA543" s="6"/>
      <c r="AB543" s="5"/>
    </row>
    <row r="544" spans="1:28" ht="12.75" customHeight="1" x14ac:dyDescent="0.2">
      <c r="A544" s="6"/>
      <c r="D544" s="6"/>
      <c r="F544" s="6"/>
      <c r="G544" s="6"/>
      <c r="H544" s="6"/>
      <c r="I544" s="6"/>
      <c r="K544" s="6"/>
      <c r="L544" s="6"/>
      <c r="N544" s="6"/>
      <c r="O544" s="6"/>
      <c r="P544" s="6"/>
      <c r="R544" s="6"/>
      <c r="V544" s="7"/>
      <c r="Z544" s="6"/>
      <c r="AA544" s="6"/>
      <c r="AB544" s="5"/>
    </row>
    <row r="545" spans="1:28" ht="12.75" customHeight="1" x14ac:dyDescent="0.2">
      <c r="A545" s="6"/>
      <c r="D545" s="6"/>
      <c r="F545" s="6"/>
      <c r="G545" s="6"/>
      <c r="H545" s="6"/>
      <c r="I545" s="6"/>
      <c r="K545" s="6"/>
      <c r="L545" s="6"/>
      <c r="N545" s="6"/>
      <c r="O545" s="6"/>
      <c r="P545" s="6"/>
      <c r="R545" s="6"/>
      <c r="V545" s="7"/>
      <c r="Z545" s="6"/>
      <c r="AA545" s="6"/>
      <c r="AB545" s="5"/>
    </row>
    <row r="546" spans="1:28" ht="12.75" customHeight="1" x14ac:dyDescent="0.2">
      <c r="A546" s="6"/>
      <c r="D546" s="6"/>
      <c r="F546" s="6"/>
      <c r="G546" s="6"/>
      <c r="H546" s="6"/>
      <c r="I546" s="6"/>
      <c r="K546" s="6"/>
      <c r="L546" s="6"/>
      <c r="N546" s="6"/>
      <c r="O546" s="6"/>
      <c r="P546" s="6"/>
      <c r="R546" s="6"/>
      <c r="V546" s="7"/>
      <c r="Z546" s="6"/>
      <c r="AA546" s="6"/>
      <c r="AB546" s="5"/>
    </row>
    <row r="547" spans="1:28" ht="12.75" customHeight="1" x14ac:dyDescent="0.2">
      <c r="A547" s="6"/>
      <c r="D547" s="6"/>
      <c r="F547" s="6"/>
      <c r="G547" s="6"/>
      <c r="H547" s="6"/>
      <c r="I547" s="6"/>
      <c r="K547" s="6"/>
      <c r="L547" s="6"/>
      <c r="N547" s="6"/>
      <c r="O547" s="6"/>
      <c r="P547" s="6"/>
      <c r="R547" s="6"/>
      <c r="V547" s="7"/>
      <c r="Z547" s="6"/>
      <c r="AA547" s="6"/>
      <c r="AB547" s="5"/>
    </row>
    <row r="548" spans="1:28" ht="12.75" customHeight="1" x14ac:dyDescent="0.2">
      <c r="A548" s="6"/>
      <c r="D548" s="6"/>
      <c r="F548" s="6"/>
      <c r="G548" s="6"/>
      <c r="H548" s="6"/>
      <c r="I548" s="6"/>
      <c r="K548" s="6"/>
      <c r="L548" s="6"/>
      <c r="N548" s="6"/>
      <c r="O548" s="6"/>
      <c r="P548" s="6"/>
      <c r="R548" s="6"/>
      <c r="V548" s="7"/>
      <c r="Z548" s="6"/>
      <c r="AA548" s="6"/>
      <c r="AB548" s="5"/>
    </row>
    <row r="549" spans="1:28" ht="12.75" customHeight="1" x14ac:dyDescent="0.2">
      <c r="A549" s="6"/>
      <c r="D549" s="6"/>
      <c r="F549" s="6"/>
      <c r="G549" s="6"/>
      <c r="H549" s="6"/>
      <c r="I549" s="6"/>
      <c r="K549" s="6"/>
      <c r="L549" s="6"/>
      <c r="N549" s="6"/>
      <c r="O549" s="6"/>
      <c r="P549" s="6"/>
      <c r="R549" s="6"/>
      <c r="V549" s="7"/>
      <c r="Z549" s="6"/>
      <c r="AA549" s="6"/>
      <c r="AB549" s="5"/>
    </row>
    <row r="550" spans="1:28" ht="12.75" customHeight="1" x14ac:dyDescent="0.2">
      <c r="A550" s="6"/>
      <c r="D550" s="6"/>
      <c r="F550" s="6"/>
      <c r="G550" s="6"/>
      <c r="H550" s="6"/>
      <c r="I550" s="6"/>
      <c r="K550" s="6"/>
      <c r="L550" s="6"/>
      <c r="N550" s="6"/>
      <c r="O550" s="6"/>
      <c r="P550" s="6"/>
      <c r="R550" s="6"/>
      <c r="V550" s="7"/>
      <c r="Z550" s="6"/>
      <c r="AA550" s="6"/>
      <c r="AB550" s="5"/>
    </row>
    <row r="551" spans="1:28" ht="12.75" customHeight="1" x14ac:dyDescent="0.2">
      <c r="A551" s="6"/>
      <c r="D551" s="6"/>
      <c r="F551" s="6"/>
      <c r="G551" s="6"/>
      <c r="H551" s="6"/>
      <c r="I551" s="6"/>
      <c r="K551" s="6"/>
      <c r="L551" s="6"/>
      <c r="N551" s="6"/>
      <c r="O551" s="6"/>
      <c r="P551" s="6"/>
      <c r="R551" s="6"/>
      <c r="V551" s="7"/>
      <c r="Z551" s="6"/>
      <c r="AA551" s="6"/>
      <c r="AB551" s="5"/>
    </row>
    <row r="552" spans="1:28" ht="12.75" customHeight="1" x14ac:dyDescent="0.2">
      <c r="A552" s="6"/>
      <c r="D552" s="6"/>
      <c r="F552" s="6"/>
      <c r="G552" s="6"/>
      <c r="H552" s="6"/>
      <c r="I552" s="6"/>
      <c r="K552" s="6"/>
      <c r="L552" s="6"/>
      <c r="N552" s="6"/>
      <c r="O552" s="6"/>
      <c r="P552" s="6"/>
      <c r="R552" s="6"/>
      <c r="V552" s="7"/>
      <c r="Z552" s="6"/>
      <c r="AA552" s="6"/>
      <c r="AB552" s="5"/>
    </row>
    <row r="553" spans="1:28" ht="12.75" customHeight="1" x14ac:dyDescent="0.2">
      <c r="A553" s="6"/>
      <c r="D553" s="6"/>
      <c r="F553" s="6"/>
      <c r="G553" s="6"/>
      <c r="H553" s="6"/>
      <c r="I553" s="6"/>
      <c r="K553" s="6"/>
      <c r="L553" s="6"/>
      <c r="N553" s="6"/>
      <c r="O553" s="6"/>
      <c r="P553" s="6"/>
      <c r="R553" s="6"/>
      <c r="V553" s="7"/>
      <c r="Z553" s="6"/>
      <c r="AA553" s="6"/>
      <c r="AB553" s="5"/>
    </row>
    <row r="554" spans="1:28" ht="12.75" customHeight="1" x14ac:dyDescent="0.2">
      <c r="A554" s="6"/>
      <c r="D554" s="6"/>
      <c r="F554" s="6"/>
      <c r="G554" s="6"/>
      <c r="H554" s="6"/>
      <c r="I554" s="6"/>
      <c r="K554" s="6"/>
      <c r="L554" s="6"/>
      <c r="N554" s="6"/>
      <c r="O554" s="6"/>
      <c r="P554" s="6"/>
      <c r="R554" s="6"/>
      <c r="V554" s="7"/>
      <c r="Z554" s="6"/>
      <c r="AA554" s="6"/>
      <c r="AB554" s="5"/>
    </row>
    <row r="555" spans="1:28" ht="12.75" customHeight="1" x14ac:dyDescent="0.2">
      <c r="A555" s="6"/>
      <c r="D555" s="6"/>
      <c r="F555" s="6"/>
      <c r="G555" s="6"/>
      <c r="H555" s="6"/>
      <c r="I555" s="6"/>
      <c r="K555" s="6"/>
      <c r="L555" s="6"/>
      <c r="N555" s="6"/>
      <c r="O555" s="6"/>
      <c r="P555" s="6"/>
      <c r="R555" s="6"/>
      <c r="V555" s="7"/>
      <c r="Z555" s="6"/>
      <c r="AA555" s="6"/>
      <c r="AB555" s="5"/>
    </row>
    <row r="556" spans="1:28" ht="12.75" customHeight="1" x14ac:dyDescent="0.2">
      <c r="A556" s="6"/>
      <c r="D556" s="6"/>
      <c r="F556" s="6"/>
      <c r="G556" s="6"/>
      <c r="H556" s="6"/>
      <c r="I556" s="6"/>
      <c r="K556" s="6"/>
      <c r="L556" s="6"/>
      <c r="N556" s="6"/>
      <c r="O556" s="6"/>
      <c r="P556" s="6"/>
      <c r="R556" s="6"/>
      <c r="V556" s="7"/>
      <c r="Z556" s="6"/>
      <c r="AA556" s="6"/>
      <c r="AB556" s="5"/>
    </row>
    <row r="557" spans="1:28" ht="12.75" customHeight="1" x14ac:dyDescent="0.2">
      <c r="A557" s="6"/>
      <c r="D557" s="6"/>
      <c r="F557" s="6"/>
      <c r="G557" s="6"/>
      <c r="H557" s="6"/>
      <c r="I557" s="6"/>
      <c r="K557" s="6"/>
      <c r="L557" s="6"/>
      <c r="N557" s="6"/>
      <c r="O557" s="6"/>
      <c r="P557" s="6"/>
      <c r="R557" s="6"/>
      <c r="V557" s="7"/>
      <c r="Z557" s="6"/>
      <c r="AA557" s="6"/>
      <c r="AB557" s="5"/>
    </row>
    <row r="558" spans="1:28" ht="12.75" customHeight="1" x14ac:dyDescent="0.2">
      <c r="A558" s="6"/>
      <c r="D558" s="6"/>
      <c r="F558" s="6"/>
      <c r="G558" s="6"/>
      <c r="H558" s="6"/>
      <c r="I558" s="6"/>
      <c r="K558" s="6"/>
      <c r="L558" s="6"/>
      <c r="N558" s="6"/>
      <c r="O558" s="6"/>
      <c r="P558" s="6"/>
      <c r="R558" s="6"/>
      <c r="V558" s="7"/>
      <c r="Z558" s="6"/>
      <c r="AA558" s="6"/>
      <c r="AB558" s="5"/>
    </row>
    <row r="559" spans="1:28" ht="12.75" customHeight="1" x14ac:dyDescent="0.2">
      <c r="A559" s="6"/>
      <c r="D559" s="6"/>
      <c r="F559" s="6"/>
      <c r="G559" s="6"/>
      <c r="H559" s="6"/>
      <c r="I559" s="6"/>
      <c r="K559" s="6"/>
      <c r="L559" s="6"/>
      <c r="N559" s="6"/>
      <c r="O559" s="6"/>
      <c r="P559" s="6"/>
      <c r="R559" s="6"/>
      <c r="V559" s="7"/>
      <c r="Z559" s="6"/>
      <c r="AA559" s="6"/>
      <c r="AB559" s="5"/>
    </row>
    <row r="560" spans="1:28" ht="12.75" customHeight="1" x14ac:dyDescent="0.2">
      <c r="A560" s="6"/>
      <c r="D560" s="6"/>
      <c r="F560" s="6"/>
      <c r="G560" s="6"/>
      <c r="H560" s="6"/>
      <c r="I560" s="6"/>
      <c r="K560" s="6"/>
      <c r="L560" s="6"/>
      <c r="N560" s="6"/>
      <c r="O560" s="6"/>
      <c r="P560" s="6"/>
      <c r="R560" s="6"/>
      <c r="V560" s="7"/>
      <c r="Z560" s="6"/>
      <c r="AA560" s="6"/>
      <c r="AB560" s="5"/>
    </row>
    <row r="561" spans="1:28" ht="12.75" customHeight="1" x14ac:dyDescent="0.2">
      <c r="A561" s="6"/>
      <c r="D561" s="6"/>
      <c r="F561" s="6"/>
      <c r="G561" s="6"/>
      <c r="H561" s="6"/>
      <c r="I561" s="6"/>
      <c r="K561" s="6"/>
      <c r="L561" s="6"/>
      <c r="N561" s="6"/>
      <c r="O561" s="6"/>
      <c r="P561" s="6"/>
      <c r="R561" s="6"/>
      <c r="V561" s="7"/>
      <c r="Z561" s="6"/>
      <c r="AA561" s="6"/>
      <c r="AB561" s="5"/>
    </row>
    <row r="562" spans="1:28" ht="12.75" customHeight="1" x14ac:dyDescent="0.2">
      <c r="A562" s="6"/>
      <c r="D562" s="6"/>
      <c r="F562" s="6"/>
      <c r="G562" s="6"/>
      <c r="H562" s="6"/>
      <c r="I562" s="6"/>
      <c r="K562" s="6"/>
      <c r="L562" s="6"/>
      <c r="N562" s="6"/>
      <c r="O562" s="6"/>
      <c r="P562" s="6"/>
      <c r="R562" s="6"/>
      <c r="V562" s="7"/>
      <c r="Z562" s="6"/>
      <c r="AA562" s="6"/>
      <c r="AB562" s="5"/>
    </row>
    <row r="563" spans="1:28" ht="12.75" customHeight="1" x14ac:dyDescent="0.2">
      <c r="A563" s="6"/>
      <c r="D563" s="6"/>
      <c r="F563" s="6"/>
      <c r="G563" s="6"/>
      <c r="H563" s="6"/>
      <c r="I563" s="6"/>
      <c r="K563" s="6"/>
      <c r="L563" s="6"/>
      <c r="N563" s="6"/>
      <c r="O563" s="6"/>
      <c r="P563" s="6"/>
      <c r="R563" s="6"/>
      <c r="V563" s="7"/>
      <c r="Z563" s="6"/>
      <c r="AA563" s="6"/>
      <c r="AB563" s="5"/>
    </row>
    <row r="564" spans="1:28" ht="12.75" customHeight="1" x14ac:dyDescent="0.2">
      <c r="A564" s="6"/>
      <c r="D564" s="6"/>
      <c r="F564" s="6"/>
      <c r="G564" s="6"/>
      <c r="H564" s="6"/>
      <c r="I564" s="6"/>
      <c r="K564" s="6"/>
      <c r="L564" s="6"/>
      <c r="N564" s="6"/>
      <c r="O564" s="6"/>
      <c r="P564" s="6"/>
      <c r="R564" s="6"/>
      <c r="V564" s="7"/>
      <c r="Z564" s="6"/>
      <c r="AA564" s="6"/>
      <c r="AB564" s="5"/>
    </row>
    <row r="565" spans="1:28" ht="12.75" customHeight="1" x14ac:dyDescent="0.2">
      <c r="A565" s="6"/>
      <c r="D565" s="6"/>
      <c r="F565" s="6"/>
      <c r="G565" s="6"/>
      <c r="H565" s="6"/>
      <c r="I565" s="6"/>
      <c r="K565" s="6"/>
      <c r="L565" s="6"/>
      <c r="N565" s="6"/>
      <c r="O565" s="6"/>
      <c r="P565" s="6"/>
      <c r="R565" s="6"/>
      <c r="V565" s="7"/>
      <c r="Z565" s="6"/>
      <c r="AA565" s="6"/>
      <c r="AB565" s="5"/>
    </row>
    <row r="566" spans="1:28" ht="12.75" customHeight="1" x14ac:dyDescent="0.2">
      <c r="A566" s="6"/>
      <c r="D566" s="6"/>
      <c r="F566" s="6"/>
      <c r="G566" s="6"/>
      <c r="H566" s="6"/>
      <c r="I566" s="6"/>
      <c r="K566" s="6"/>
      <c r="L566" s="6"/>
      <c r="N566" s="6"/>
      <c r="O566" s="6"/>
      <c r="P566" s="6"/>
      <c r="R566" s="6"/>
      <c r="V566" s="7"/>
      <c r="Z566" s="6"/>
      <c r="AA566" s="6"/>
      <c r="AB566" s="5"/>
    </row>
    <row r="567" spans="1:28" ht="12.75" customHeight="1" x14ac:dyDescent="0.2">
      <c r="A567" s="6"/>
      <c r="D567" s="6"/>
      <c r="F567" s="6"/>
      <c r="G567" s="6"/>
      <c r="H567" s="6"/>
      <c r="I567" s="6"/>
      <c r="K567" s="6"/>
      <c r="L567" s="6"/>
      <c r="N567" s="6"/>
      <c r="O567" s="6"/>
      <c r="P567" s="6"/>
      <c r="R567" s="6"/>
      <c r="V567" s="7"/>
      <c r="Z567" s="6"/>
      <c r="AA567" s="6"/>
      <c r="AB567" s="5"/>
    </row>
    <row r="568" spans="1:28" ht="12.75" customHeight="1" x14ac:dyDescent="0.2">
      <c r="A568" s="6"/>
      <c r="D568" s="6"/>
      <c r="F568" s="6"/>
      <c r="G568" s="6"/>
      <c r="H568" s="6"/>
      <c r="I568" s="6"/>
      <c r="K568" s="6"/>
      <c r="L568" s="6"/>
      <c r="N568" s="6"/>
      <c r="O568" s="6"/>
      <c r="P568" s="6"/>
      <c r="R568" s="6"/>
      <c r="V568" s="7"/>
      <c r="Z568" s="6"/>
      <c r="AA568" s="6"/>
      <c r="AB568" s="5"/>
    </row>
    <row r="569" spans="1:28" ht="12.75" customHeight="1" x14ac:dyDescent="0.2">
      <c r="A569" s="6"/>
      <c r="D569" s="6"/>
      <c r="F569" s="6"/>
      <c r="G569" s="6"/>
      <c r="H569" s="6"/>
      <c r="I569" s="6"/>
      <c r="K569" s="6"/>
      <c r="L569" s="6"/>
      <c r="N569" s="6"/>
      <c r="O569" s="6"/>
      <c r="P569" s="6"/>
      <c r="R569" s="6"/>
      <c r="V569" s="7"/>
      <c r="Z569" s="6"/>
      <c r="AA569" s="6"/>
      <c r="AB569" s="5"/>
    </row>
    <row r="570" spans="1:28" ht="12.75" customHeight="1" x14ac:dyDescent="0.2">
      <c r="A570" s="6"/>
      <c r="D570" s="6"/>
      <c r="F570" s="6"/>
      <c r="G570" s="6"/>
      <c r="H570" s="6"/>
      <c r="I570" s="6"/>
      <c r="K570" s="6"/>
      <c r="L570" s="6"/>
      <c r="N570" s="6"/>
      <c r="O570" s="6"/>
      <c r="P570" s="6"/>
      <c r="R570" s="6"/>
      <c r="V570" s="7"/>
      <c r="Z570" s="6"/>
      <c r="AA570" s="6"/>
      <c r="AB570" s="5"/>
    </row>
    <row r="571" spans="1:28" ht="12.75" customHeight="1" x14ac:dyDescent="0.2">
      <c r="A571" s="6"/>
      <c r="D571" s="6"/>
      <c r="F571" s="6"/>
      <c r="G571" s="6"/>
      <c r="H571" s="6"/>
      <c r="I571" s="6"/>
      <c r="K571" s="6"/>
      <c r="L571" s="6"/>
      <c r="N571" s="6"/>
      <c r="O571" s="6"/>
      <c r="P571" s="6"/>
      <c r="R571" s="6"/>
      <c r="V571" s="7"/>
      <c r="Z571" s="6"/>
      <c r="AA571" s="6"/>
      <c r="AB571" s="5"/>
    </row>
    <row r="572" spans="1:28" ht="12.75" customHeight="1" x14ac:dyDescent="0.2">
      <c r="A572" s="6"/>
      <c r="D572" s="6"/>
      <c r="F572" s="6"/>
      <c r="G572" s="6"/>
      <c r="H572" s="6"/>
      <c r="I572" s="6"/>
      <c r="K572" s="6"/>
      <c r="L572" s="6"/>
      <c r="N572" s="6"/>
      <c r="O572" s="6"/>
      <c r="P572" s="6"/>
      <c r="R572" s="6"/>
      <c r="V572" s="7"/>
      <c r="Z572" s="6"/>
      <c r="AA572" s="6"/>
      <c r="AB572" s="5"/>
    </row>
    <row r="573" spans="1:28" ht="12.75" customHeight="1" x14ac:dyDescent="0.2">
      <c r="A573" s="6"/>
      <c r="D573" s="6"/>
      <c r="F573" s="6"/>
      <c r="G573" s="6"/>
      <c r="H573" s="6"/>
      <c r="I573" s="6"/>
      <c r="K573" s="6"/>
      <c r="L573" s="6"/>
      <c r="N573" s="6"/>
      <c r="O573" s="6"/>
      <c r="P573" s="6"/>
      <c r="R573" s="6"/>
      <c r="V573" s="7"/>
      <c r="Z573" s="6"/>
      <c r="AA573" s="6"/>
      <c r="AB573" s="5"/>
    </row>
    <row r="574" spans="1:28" ht="12.75" customHeight="1" x14ac:dyDescent="0.2">
      <c r="A574" s="6"/>
      <c r="D574" s="6"/>
      <c r="F574" s="6"/>
      <c r="G574" s="6"/>
      <c r="H574" s="6"/>
      <c r="I574" s="6"/>
      <c r="K574" s="6"/>
      <c r="L574" s="6"/>
      <c r="N574" s="6"/>
      <c r="O574" s="6"/>
      <c r="P574" s="6"/>
      <c r="R574" s="6"/>
      <c r="V574" s="7"/>
      <c r="Z574" s="6"/>
      <c r="AA574" s="6"/>
      <c r="AB574" s="5"/>
    </row>
    <row r="575" spans="1:28" ht="12.75" customHeight="1" x14ac:dyDescent="0.2">
      <c r="A575" s="6"/>
      <c r="D575" s="6"/>
      <c r="F575" s="6"/>
      <c r="G575" s="6"/>
      <c r="H575" s="6"/>
      <c r="I575" s="6"/>
      <c r="K575" s="6"/>
      <c r="L575" s="6"/>
      <c r="N575" s="6"/>
      <c r="O575" s="6"/>
      <c r="P575" s="6"/>
      <c r="R575" s="6"/>
      <c r="V575" s="7"/>
      <c r="Z575" s="6"/>
      <c r="AA575" s="6"/>
      <c r="AB575" s="5"/>
    </row>
    <row r="576" spans="1:28" ht="12.75" customHeight="1" x14ac:dyDescent="0.2">
      <c r="A576" s="6"/>
      <c r="D576" s="6"/>
      <c r="F576" s="6"/>
      <c r="G576" s="6"/>
      <c r="H576" s="6"/>
      <c r="I576" s="6"/>
      <c r="K576" s="6"/>
      <c r="L576" s="6"/>
      <c r="N576" s="6"/>
      <c r="O576" s="6"/>
      <c r="P576" s="6"/>
      <c r="R576" s="6"/>
      <c r="V576" s="7"/>
      <c r="Z576" s="6"/>
      <c r="AA576" s="6"/>
      <c r="AB576" s="5"/>
    </row>
    <row r="577" spans="1:28" ht="12.75" customHeight="1" x14ac:dyDescent="0.2">
      <c r="A577" s="6"/>
      <c r="D577" s="6"/>
      <c r="F577" s="6"/>
      <c r="G577" s="6"/>
      <c r="H577" s="6"/>
      <c r="I577" s="6"/>
      <c r="K577" s="6"/>
      <c r="L577" s="6"/>
      <c r="N577" s="6"/>
      <c r="O577" s="6"/>
      <c r="P577" s="6"/>
      <c r="R577" s="6"/>
      <c r="V577" s="7"/>
      <c r="Z577" s="6"/>
      <c r="AA577" s="6"/>
      <c r="AB577" s="5"/>
    </row>
    <row r="578" spans="1:28" ht="12.75" customHeight="1" x14ac:dyDescent="0.2">
      <c r="A578" s="6"/>
      <c r="D578" s="6"/>
      <c r="F578" s="6"/>
      <c r="G578" s="6"/>
      <c r="H578" s="6"/>
      <c r="I578" s="6"/>
      <c r="K578" s="6"/>
      <c r="L578" s="6"/>
      <c r="N578" s="6"/>
      <c r="O578" s="6"/>
      <c r="P578" s="6"/>
      <c r="R578" s="6"/>
      <c r="V578" s="7"/>
      <c r="Z578" s="6"/>
      <c r="AA578" s="6"/>
      <c r="AB578" s="5"/>
    </row>
    <row r="579" spans="1:28" ht="12.75" customHeight="1" x14ac:dyDescent="0.2">
      <c r="A579" s="6"/>
      <c r="D579" s="6"/>
      <c r="F579" s="6"/>
      <c r="G579" s="6"/>
      <c r="H579" s="6"/>
      <c r="I579" s="6"/>
      <c r="K579" s="6"/>
      <c r="L579" s="6"/>
      <c r="N579" s="6"/>
      <c r="O579" s="6"/>
      <c r="P579" s="6"/>
      <c r="R579" s="6"/>
      <c r="V579" s="7"/>
      <c r="Z579" s="6"/>
      <c r="AA579" s="6"/>
      <c r="AB579" s="5"/>
    </row>
    <row r="580" spans="1:28" ht="12.75" customHeight="1" x14ac:dyDescent="0.2">
      <c r="A580" s="6"/>
      <c r="D580" s="6"/>
      <c r="F580" s="6"/>
      <c r="G580" s="6"/>
      <c r="H580" s="6"/>
      <c r="I580" s="6"/>
      <c r="K580" s="6"/>
      <c r="L580" s="6"/>
      <c r="N580" s="6"/>
      <c r="O580" s="6"/>
      <c r="P580" s="6"/>
      <c r="R580" s="6"/>
      <c r="V580" s="7"/>
      <c r="Z580" s="6"/>
      <c r="AA580" s="6"/>
      <c r="AB580" s="5"/>
    </row>
    <row r="581" spans="1:28" ht="12.75" customHeight="1" x14ac:dyDescent="0.2">
      <c r="A581" s="6"/>
      <c r="D581" s="6"/>
      <c r="F581" s="6"/>
      <c r="G581" s="6"/>
      <c r="H581" s="6"/>
      <c r="I581" s="6"/>
      <c r="K581" s="6"/>
      <c r="L581" s="6"/>
      <c r="N581" s="6"/>
      <c r="O581" s="6"/>
      <c r="P581" s="6"/>
      <c r="R581" s="6"/>
      <c r="V581" s="7"/>
      <c r="Z581" s="6"/>
      <c r="AA581" s="6"/>
      <c r="AB581" s="5"/>
    </row>
    <row r="582" spans="1:28" ht="12.75" customHeight="1" x14ac:dyDescent="0.2">
      <c r="A582" s="6"/>
      <c r="D582" s="6"/>
      <c r="F582" s="6"/>
      <c r="G582" s="6"/>
      <c r="H582" s="6"/>
      <c r="I582" s="6"/>
      <c r="K582" s="6"/>
      <c r="L582" s="6"/>
      <c r="N582" s="6"/>
      <c r="O582" s="6"/>
      <c r="P582" s="6"/>
      <c r="R582" s="6"/>
      <c r="V582" s="7"/>
      <c r="Z582" s="6"/>
      <c r="AA582" s="6"/>
      <c r="AB582" s="5"/>
    </row>
    <row r="583" spans="1:28" ht="12.75" customHeight="1" x14ac:dyDescent="0.2">
      <c r="A583" s="6"/>
      <c r="D583" s="6"/>
      <c r="F583" s="6"/>
      <c r="G583" s="6"/>
      <c r="H583" s="6"/>
      <c r="I583" s="6"/>
      <c r="K583" s="6"/>
      <c r="L583" s="6"/>
      <c r="N583" s="6"/>
      <c r="O583" s="6"/>
      <c r="P583" s="6"/>
      <c r="R583" s="6"/>
      <c r="V583" s="7"/>
      <c r="Z583" s="6"/>
      <c r="AA583" s="6"/>
      <c r="AB583" s="5"/>
    </row>
    <row r="584" spans="1:28" ht="12.75" customHeight="1" x14ac:dyDescent="0.2">
      <c r="A584" s="6"/>
      <c r="D584" s="6"/>
      <c r="F584" s="6"/>
      <c r="G584" s="6"/>
      <c r="H584" s="6"/>
      <c r="I584" s="6"/>
      <c r="K584" s="6"/>
      <c r="L584" s="6"/>
      <c r="N584" s="6"/>
      <c r="O584" s="6"/>
      <c r="P584" s="6"/>
      <c r="R584" s="6"/>
      <c r="V584" s="7"/>
      <c r="Z584" s="6"/>
      <c r="AA584" s="6"/>
      <c r="AB584" s="5"/>
    </row>
    <row r="585" spans="1:28" ht="12.75" customHeight="1" x14ac:dyDescent="0.2">
      <c r="A585" s="6"/>
      <c r="D585" s="6"/>
      <c r="F585" s="6"/>
      <c r="G585" s="6"/>
      <c r="H585" s="6"/>
      <c r="I585" s="6"/>
      <c r="K585" s="6"/>
      <c r="L585" s="6"/>
      <c r="N585" s="6"/>
      <c r="O585" s="6"/>
      <c r="P585" s="6"/>
      <c r="R585" s="6"/>
      <c r="V585" s="7"/>
      <c r="Z585" s="6"/>
      <c r="AA585" s="6"/>
      <c r="AB585" s="5"/>
    </row>
    <row r="586" spans="1:28" ht="12.75" customHeight="1" x14ac:dyDescent="0.2">
      <c r="A586" s="6"/>
      <c r="D586" s="6"/>
      <c r="F586" s="6"/>
      <c r="G586" s="6"/>
      <c r="H586" s="6"/>
      <c r="I586" s="6"/>
      <c r="K586" s="6"/>
      <c r="L586" s="6"/>
      <c r="N586" s="6"/>
      <c r="O586" s="6"/>
      <c r="P586" s="6"/>
      <c r="R586" s="6"/>
      <c r="V586" s="7"/>
      <c r="Z586" s="6"/>
      <c r="AA586" s="6"/>
      <c r="AB586" s="5"/>
    </row>
    <row r="587" spans="1:28" ht="12.75" customHeight="1" x14ac:dyDescent="0.2">
      <c r="A587" s="6"/>
      <c r="D587" s="6"/>
      <c r="F587" s="6"/>
      <c r="G587" s="6"/>
      <c r="H587" s="6"/>
      <c r="I587" s="6"/>
      <c r="K587" s="6"/>
      <c r="L587" s="6"/>
      <c r="N587" s="6"/>
      <c r="O587" s="6"/>
      <c r="P587" s="6"/>
      <c r="R587" s="6"/>
      <c r="V587" s="7"/>
      <c r="Z587" s="6"/>
      <c r="AA587" s="6"/>
      <c r="AB587" s="5"/>
    </row>
    <row r="588" spans="1:28" ht="12.75" customHeight="1" x14ac:dyDescent="0.2">
      <c r="A588" s="6"/>
      <c r="D588" s="6"/>
      <c r="F588" s="6"/>
      <c r="G588" s="6"/>
      <c r="H588" s="6"/>
      <c r="I588" s="6"/>
      <c r="K588" s="6"/>
      <c r="L588" s="6"/>
      <c r="N588" s="6"/>
      <c r="O588" s="6"/>
      <c r="P588" s="6"/>
      <c r="R588" s="6"/>
      <c r="V588" s="7"/>
      <c r="Z588" s="6"/>
      <c r="AA588" s="6"/>
      <c r="AB588" s="5"/>
    </row>
    <row r="589" spans="1:28" ht="12.75" customHeight="1" x14ac:dyDescent="0.2">
      <c r="A589" s="6"/>
      <c r="D589" s="6"/>
      <c r="F589" s="6"/>
      <c r="G589" s="6"/>
      <c r="H589" s="6"/>
      <c r="I589" s="6"/>
      <c r="K589" s="6"/>
      <c r="L589" s="6"/>
      <c r="N589" s="6"/>
      <c r="O589" s="6"/>
      <c r="P589" s="6"/>
      <c r="R589" s="6"/>
      <c r="V589" s="7"/>
      <c r="Z589" s="6"/>
      <c r="AA589" s="6"/>
      <c r="AB589" s="5"/>
    </row>
    <row r="590" spans="1:28" ht="12.75" customHeight="1" x14ac:dyDescent="0.2">
      <c r="A590" s="6"/>
      <c r="D590" s="6"/>
      <c r="F590" s="6"/>
      <c r="G590" s="6"/>
      <c r="H590" s="6"/>
      <c r="I590" s="6"/>
      <c r="K590" s="6"/>
      <c r="L590" s="6"/>
      <c r="N590" s="6"/>
      <c r="O590" s="6"/>
      <c r="P590" s="6"/>
      <c r="R590" s="6"/>
      <c r="V590" s="7"/>
      <c r="Z590" s="6"/>
      <c r="AA590" s="6"/>
      <c r="AB590" s="5"/>
    </row>
    <row r="591" spans="1:28" ht="12.75" customHeight="1" x14ac:dyDescent="0.2">
      <c r="A591" s="6"/>
      <c r="D591" s="6"/>
      <c r="F591" s="6"/>
      <c r="G591" s="6"/>
      <c r="H591" s="6"/>
      <c r="I591" s="6"/>
      <c r="K591" s="6"/>
      <c r="L591" s="6"/>
      <c r="N591" s="6"/>
      <c r="O591" s="6"/>
      <c r="P591" s="6"/>
      <c r="R591" s="6"/>
      <c r="V591" s="7"/>
      <c r="Z591" s="6"/>
      <c r="AA591" s="6"/>
      <c r="AB591" s="5"/>
    </row>
    <row r="592" spans="1:28" ht="12.75" customHeight="1" x14ac:dyDescent="0.2">
      <c r="A592" s="6"/>
      <c r="D592" s="6"/>
      <c r="F592" s="6"/>
      <c r="G592" s="6"/>
      <c r="H592" s="6"/>
      <c r="I592" s="6"/>
      <c r="K592" s="6"/>
      <c r="L592" s="6"/>
      <c r="N592" s="6"/>
      <c r="O592" s="6"/>
      <c r="P592" s="6"/>
      <c r="R592" s="6"/>
      <c r="V592" s="7"/>
      <c r="Z592" s="6"/>
      <c r="AA592" s="6"/>
      <c r="AB592" s="5"/>
    </row>
    <row r="593" spans="1:28" ht="12.75" customHeight="1" x14ac:dyDescent="0.2">
      <c r="A593" s="6"/>
      <c r="D593" s="6"/>
      <c r="F593" s="6"/>
      <c r="G593" s="6"/>
      <c r="H593" s="6"/>
      <c r="I593" s="6"/>
      <c r="K593" s="6"/>
      <c r="L593" s="6"/>
      <c r="N593" s="6"/>
      <c r="O593" s="6"/>
      <c r="P593" s="6"/>
      <c r="R593" s="6"/>
      <c r="V593" s="7"/>
      <c r="Z593" s="6"/>
      <c r="AA593" s="6"/>
      <c r="AB593" s="5"/>
    </row>
    <row r="594" spans="1:28" ht="12.75" customHeight="1" x14ac:dyDescent="0.2">
      <c r="A594" s="6"/>
      <c r="D594" s="6"/>
      <c r="F594" s="6"/>
      <c r="G594" s="6"/>
      <c r="H594" s="6"/>
      <c r="I594" s="6"/>
      <c r="K594" s="6"/>
      <c r="L594" s="6"/>
      <c r="N594" s="6"/>
      <c r="O594" s="6"/>
      <c r="P594" s="6"/>
      <c r="R594" s="6"/>
      <c r="V594" s="7"/>
      <c r="Z594" s="6"/>
      <c r="AA594" s="6"/>
      <c r="AB594" s="5"/>
    </row>
    <row r="595" spans="1:28" ht="12.75" customHeight="1" x14ac:dyDescent="0.2">
      <c r="A595" s="6"/>
      <c r="D595" s="6"/>
      <c r="F595" s="6"/>
      <c r="G595" s="6"/>
      <c r="H595" s="6"/>
      <c r="I595" s="6"/>
      <c r="K595" s="6"/>
      <c r="L595" s="6"/>
      <c r="N595" s="6"/>
      <c r="O595" s="6"/>
      <c r="P595" s="6"/>
      <c r="R595" s="6"/>
      <c r="V595" s="7"/>
      <c r="Z595" s="6"/>
      <c r="AA595" s="6"/>
      <c r="AB595" s="5"/>
    </row>
    <row r="596" spans="1:28" ht="12.75" customHeight="1" x14ac:dyDescent="0.2">
      <c r="A596" s="6"/>
      <c r="D596" s="6"/>
      <c r="F596" s="6"/>
      <c r="G596" s="6"/>
      <c r="H596" s="6"/>
      <c r="I596" s="6"/>
      <c r="K596" s="6"/>
      <c r="L596" s="6"/>
      <c r="N596" s="6"/>
      <c r="O596" s="6"/>
      <c r="P596" s="6"/>
      <c r="R596" s="6"/>
      <c r="V596" s="7"/>
      <c r="Z596" s="6"/>
      <c r="AA596" s="6"/>
      <c r="AB596" s="5"/>
    </row>
    <row r="597" spans="1:28" ht="12.75" customHeight="1" x14ac:dyDescent="0.2">
      <c r="A597" s="6"/>
      <c r="D597" s="6"/>
      <c r="F597" s="6"/>
      <c r="G597" s="6"/>
      <c r="H597" s="6"/>
      <c r="I597" s="6"/>
      <c r="K597" s="6"/>
      <c r="L597" s="6"/>
      <c r="N597" s="6"/>
      <c r="O597" s="6"/>
      <c r="P597" s="6"/>
      <c r="R597" s="6"/>
      <c r="V597" s="7"/>
      <c r="Z597" s="6"/>
      <c r="AA597" s="6"/>
      <c r="AB597" s="5"/>
    </row>
    <row r="598" spans="1:28" ht="12.75" customHeight="1" x14ac:dyDescent="0.2">
      <c r="A598" s="6"/>
      <c r="D598" s="6"/>
      <c r="F598" s="6"/>
      <c r="G598" s="6"/>
      <c r="H598" s="6"/>
      <c r="I598" s="6"/>
      <c r="K598" s="6"/>
      <c r="L598" s="6"/>
      <c r="N598" s="6"/>
      <c r="O598" s="6"/>
      <c r="P598" s="6"/>
      <c r="R598" s="6"/>
      <c r="V598" s="7"/>
      <c r="Z598" s="6"/>
      <c r="AA598" s="6"/>
      <c r="AB598" s="5"/>
    </row>
    <row r="599" spans="1:28" ht="12.75" customHeight="1" x14ac:dyDescent="0.2">
      <c r="A599" s="6"/>
      <c r="D599" s="6"/>
      <c r="F599" s="6"/>
      <c r="G599" s="6"/>
      <c r="H599" s="6"/>
      <c r="I599" s="6"/>
      <c r="K599" s="6"/>
      <c r="L599" s="6"/>
      <c r="N599" s="6"/>
      <c r="O599" s="6"/>
      <c r="P599" s="6"/>
      <c r="R599" s="6"/>
      <c r="V599" s="7"/>
      <c r="Z599" s="6"/>
      <c r="AA599" s="6"/>
      <c r="AB599" s="5"/>
    </row>
    <row r="600" spans="1:28" ht="12.75" customHeight="1" x14ac:dyDescent="0.2">
      <c r="A600" s="6"/>
      <c r="D600" s="6"/>
      <c r="F600" s="6"/>
      <c r="G600" s="6"/>
      <c r="H600" s="6"/>
      <c r="I600" s="6"/>
      <c r="K600" s="6"/>
      <c r="L600" s="6"/>
      <c r="N600" s="6"/>
      <c r="O600" s="6"/>
      <c r="P600" s="6"/>
      <c r="R600" s="6"/>
      <c r="V600" s="7"/>
      <c r="Z600" s="6"/>
      <c r="AA600" s="6"/>
      <c r="AB600" s="5"/>
    </row>
    <row r="601" spans="1:28" ht="12.75" customHeight="1" x14ac:dyDescent="0.2">
      <c r="A601" s="6"/>
      <c r="D601" s="6"/>
      <c r="F601" s="6"/>
      <c r="G601" s="6"/>
      <c r="H601" s="6"/>
      <c r="I601" s="6"/>
      <c r="K601" s="6"/>
      <c r="L601" s="6"/>
      <c r="N601" s="6"/>
      <c r="O601" s="6"/>
      <c r="P601" s="6"/>
      <c r="R601" s="6"/>
      <c r="V601" s="7"/>
      <c r="Z601" s="6"/>
      <c r="AA601" s="6"/>
      <c r="AB601" s="5"/>
    </row>
    <row r="602" spans="1:28" ht="12.75" customHeight="1" x14ac:dyDescent="0.2">
      <c r="A602" s="6"/>
      <c r="D602" s="6"/>
      <c r="F602" s="6"/>
      <c r="G602" s="6"/>
      <c r="H602" s="6"/>
      <c r="I602" s="6"/>
      <c r="K602" s="6"/>
      <c r="L602" s="6"/>
      <c r="N602" s="6"/>
      <c r="O602" s="6"/>
      <c r="P602" s="6"/>
      <c r="R602" s="6"/>
      <c r="V602" s="7"/>
      <c r="Z602" s="6"/>
      <c r="AA602" s="6"/>
      <c r="AB602" s="5"/>
    </row>
    <row r="603" spans="1:28" ht="12.75" customHeight="1" x14ac:dyDescent="0.2">
      <c r="A603" s="6"/>
      <c r="D603" s="6"/>
      <c r="F603" s="6"/>
      <c r="G603" s="6"/>
      <c r="H603" s="6"/>
      <c r="I603" s="6"/>
      <c r="K603" s="6"/>
      <c r="L603" s="6"/>
      <c r="N603" s="6"/>
      <c r="O603" s="6"/>
      <c r="P603" s="6"/>
      <c r="R603" s="6"/>
      <c r="V603" s="7"/>
      <c r="Z603" s="6"/>
      <c r="AA603" s="6"/>
      <c r="AB603" s="5"/>
    </row>
    <row r="604" spans="1:28" ht="12.75" customHeight="1" x14ac:dyDescent="0.2">
      <c r="A604" s="6"/>
      <c r="D604" s="6"/>
      <c r="F604" s="6"/>
      <c r="G604" s="6"/>
      <c r="H604" s="6"/>
      <c r="I604" s="6"/>
      <c r="K604" s="6"/>
      <c r="L604" s="6"/>
      <c r="N604" s="6"/>
      <c r="O604" s="6"/>
      <c r="P604" s="6"/>
      <c r="R604" s="6"/>
      <c r="V604" s="7"/>
      <c r="Z604" s="6"/>
      <c r="AA604" s="6"/>
      <c r="AB604" s="5"/>
    </row>
    <row r="605" spans="1:28" ht="12.75" customHeight="1" x14ac:dyDescent="0.2">
      <c r="A605" s="6"/>
      <c r="D605" s="6"/>
      <c r="F605" s="6"/>
      <c r="G605" s="6"/>
      <c r="H605" s="6"/>
      <c r="I605" s="6"/>
      <c r="K605" s="6"/>
      <c r="L605" s="6"/>
      <c r="N605" s="6"/>
      <c r="O605" s="6"/>
      <c r="P605" s="6"/>
      <c r="R605" s="6"/>
      <c r="V605" s="7"/>
      <c r="Z605" s="6"/>
      <c r="AA605" s="6"/>
      <c r="AB605" s="5"/>
    </row>
    <row r="606" spans="1:28" ht="12.75" customHeight="1" x14ac:dyDescent="0.2">
      <c r="A606" s="6"/>
      <c r="D606" s="6"/>
      <c r="F606" s="6"/>
      <c r="G606" s="6"/>
      <c r="H606" s="6"/>
      <c r="I606" s="6"/>
      <c r="K606" s="6"/>
      <c r="L606" s="6"/>
      <c r="N606" s="6"/>
      <c r="O606" s="6"/>
      <c r="P606" s="6"/>
      <c r="R606" s="6"/>
      <c r="V606" s="7"/>
      <c r="Z606" s="6"/>
      <c r="AA606" s="6"/>
      <c r="AB606" s="5"/>
    </row>
    <row r="607" spans="1:28" ht="12.75" customHeight="1" x14ac:dyDescent="0.2">
      <c r="A607" s="6"/>
      <c r="D607" s="6"/>
      <c r="F607" s="6"/>
      <c r="G607" s="6"/>
      <c r="H607" s="6"/>
      <c r="I607" s="6"/>
      <c r="K607" s="6"/>
      <c r="L607" s="6"/>
      <c r="N607" s="6"/>
      <c r="O607" s="6"/>
      <c r="P607" s="6"/>
      <c r="R607" s="6"/>
      <c r="V607" s="7"/>
      <c r="Z607" s="6"/>
      <c r="AA607" s="6"/>
      <c r="AB607" s="5"/>
    </row>
    <row r="608" spans="1:28" ht="12.75" customHeight="1" x14ac:dyDescent="0.2">
      <c r="A608" s="6"/>
      <c r="D608" s="6"/>
      <c r="F608" s="6"/>
      <c r="G608" s="6"/>
      <c r="H608" s="6"/>
      <c r="I608" s="6"/>
      <c r="K608" s="6"/>
      <c r="L608" s="6"/>
      <c r="N608" s="6"/>
      <c r="O608" s="6"/>
      <c r="P608" s="6"/>
      <c r="R608" s="6"/>
      <c r="V608" s="7"/>
      <c r="Z608" s="6"/>
      <c r="AA608" s="6"/>
      <c r="AB608" s="5"/>
    </row>
    <row r="609" spans="1:28" ht="12.75" customHeight="1" x14ac:dyDescent="0.2">
      <c r="A609" s="6"/>
      <c r="D609" s="6"/>
      <c r="F609" s="6"/>
      <c r="G609" s="6"/>
      <c r="H609" s="6"/>
      <c r="I609" s="6"/>
      <c r="K609" s="6"/>
      <c r="L609" s="6"/>
      <c r="N609" s="6"/>
      <c r="O609" s="6"/>
      <c r="P609" s="6"/>
      <c r="R609" s="6"/>
      <c r="V609" s="7"/>
      <c r="Z609" s="6"/>
      <c r="AA609" s="6"/>
      <c r="AB609" s="5"/>
    </row>
    <row r="610" spans="1:28" ht="12.75" customHeight="1" x14ac:dyDescent="0.2">
      <c r="A610" s="6"/>
      <c r="D610" s="6"/>
      <c r="F610" s="6"/>
      <c r="G610" s="6"/>
      <c r="H610" s="6"/>
      <c r="I610" s="6"/>
      <c r="K610" s="6"/>
      <c r="L610" s="6"/>
      <c r="N610" s="6"/>
      <c r="O610" s="6"/>
      <c r="P610" s="6"/>
      <c r="R610" s="6"/>
      <c r="V610" s="7"/>
      <c r="Z610" s="6"/>
      <c r="AA610" s="6"/>
      <c r="AB610" s="5"/>
    </row>
    <row r="611" spans="1:28" ht="12.75" customHeight="1" x14ac:dyDescent="0.2">
      <c r="A611" s="6"/>
      <c r="D611" s="6"/>
      <c r="F611" s="6"/>
      <c r="G611" s="6"/>
      <c r="H611" s="6"/>
      <c r="I611" s="6"/>
      <c r="K611" s="6"/>
      <c r="L611" s="6"/>
      <c r="N611" s="6"/>
      <c r="O611" s="6"/>
      <c r="P611" s="6"/>
      <c r="R611" s="6"/>
      <c r="V611" s="7"/>
      <c r="Z611" s="6"/>
      <c r="AA611" s="6"/>
      <c r="AB611" s="5"/>
    </row>
    <row r="612" spans="1:28" ht="12.75" customHeight="1" x14ac:dyDescent="0.2">
      <c r="A612" s="6"/>
      <c r="D612" s="6"/>
      <c r="F612" s="6"/>
      <c r="G612" s="6"/>
      <c r="H612" s="6"/>
      <c r="I612" s="6"/>
      <c r="K612" s="6"/>
      <c r="L612" s="6"/>
      <c r="N612" s="6"/>
      <c r="O612" s="6"/>
      <c r="P612" s="6"/>
      <c r="R612" s="6"/>
      <c r="V612" s="7"/>
      <c r="Z612" s="6"/>
      <c r="AA612" s="6"/>
      <c r="AB612" s="5"/>
    </row>
    <row r="613" spans="1:28" ht="12.75" customHeight="1" x14ac:dyDescent="0.2">
      <c r="A613" s="6"/>
      <c r="D613" s="6"/>
      <c r="F613" s="6"/>
      <c r="G613" s="6"/>
      <c r="H613" s="6"/>
      <c r="I613" s="6"/>
      <c r="K613" s="6"/>
      <c r="L613" s="6"/>
      <c r="N613" s="6"/>
      <c r="O613" s="6"/>
      <c r="P613" s="6"/>
      <c r="R613" s="6"/>
      <c r="V613" s="7"/>
      <c r="Z613" s="6"/>
      <c r="AA613" s="6"/>
      <c r="AB613" s="5"/>
    </row>
    <row r="614" spans="1:28" ht="12.75" customHeight="1" x14ac:dyDescent="0.2">
      <c r="A614" s="6"/>
      <c r="D614" s="6"/>
      <c r="F614" s="6"/>
      <c r="G614" s="6"/>
      <c r="H614" s="6"/>
      <c r="I614" s="6"/>
      <c r="K614" s="6"/>
      <c r="L614" s="6"/>
      <c r="N614" s="6"/>
      <c r="O614" s="6"/>
      <c r="P614" s="6"/>
      <c r="R614" s="6"/>
      <c r="V614" s="7"/>
      <c r="Z614" s="6"/>
      <c r="AA614" s="6"/>
      <c r="AB614" s="5"/>
    </row>
    <row r="615" spans="1:28" ht="12.75" customHeight="1" x14ac:dyDescent="0.2">
      <c r="A615" s="6"/>
      <c r="D615" s="6"/>
      <c r="F615" s="6"/>
      <c r="G615" s="6"/>
      <c r="H615" s="6"/>
      <c r="I615" s="6"/>
      <c r="K615" s="6"/>
      <c r="L615" s="6"/>
      <c r="N615" s="6"/>
      <c r="O615" s="6"/>
      <c r="P615" s="6"/>
      <c r="R615" s="6"/>
      <c r="V615" s="7"/>
      <c r="Z615" s="6"/>
      <c r="AA615" s="6"/>
      <c r="AB615" s="5"/>
    </row>
    <row r="616" spans="1:28" ht="12.75" customHeight="1" x14ac:dyDescent="0.2">
      <c r="A616" s="6"/>
      <c r="D616" s="6"/>
      <c r="F616" s="6"/>
      <c r="G616" s="6"/>
      <c r="H616" s="6"/>
      <c r="I616" s="6"/>
      <c r="K616" s="6"/>
      <c r="L616" s="6"/>
      <c r="N616" s="6"/>
      <c r="O616" s="6"/>
      <c r="P616" s="6"/>
      <c r="R616" s="6"/>
      <c r="V616" s="7"/>
      <c r="Z616" s="6"/>
      <c r="AA616" s="6"/>
      <c r="AB616" s="5"/>
    </row>
    <row r="617" spans="1:28" ht="12.75" customHeight="1" x14ac:dyDescent="0.2">
      <c r="A617" s="6"/>
      <c r="D617" s="6"/>
      <c r="F617" s="6"/>
      <c r="G617" s="6"/>
      <c r="H617" s="6"/>
      <c r="I617" s="6"/>
      <c r="K617" s="6"/>
      <c r="L617" s="6"/>
      <c r="N617" s="6"/>
      <c r="O617" s="6"/>
      <c r="P617" s="6"/>
      <c r="R617" s="6"/>
      <c r="V617" s="7"/>
      <c r="Z617" s="6"/>
      <c r="AA617" s="6"/>
      <c r="AB617" s="5"/>
    </row>
    <row r="618" spans="1:28" ht="12.75" customHeight="1" x14ac:dyDescent="0.2">
      <c r="A618" s="6"/>
      <c r="D618" s="6"/>
      <c r="F618" s="6"/>
      <c r="G618" s="6"/>
      <c r="H618" s="6"/>
      <c r="I618" s="6"/>
      <c r="K618" s="6"/>
      <c r="L618" s="6"/>
      <c r="N618" s="6"/>
      <c r="O618" s="6"/>
      <c r="P618" s="6"/>
      <c r="R618" s="6"/>
      <c r="V618" s="7"/>
      <c r="Z618" s="6"/>
      <c r="AA618" s="6"/>
      <c r="AB618" s="5"/>
    </row>
    <row r="619" spans="1:28" ht="12.75" customHeight="1" x14ac:dyDescent="0.2">
      <c r="A619" s="6"/>
      <c r="D619" s="6"/>
      <c r="F619" s="6"/>
      <c r="G619" s="6"/>
      <c r="H619" s="6"/>
      <c r="I619" s="6"/>
      <c r="K619" s="6"/>
      <c r="L619" s="6"/>
      <c r="N619" s="6"/>
      <c r="O619" s="6"/>
      <c r="P619" s="6"/>
      <c r="R619" s="6"/>
      <c r="V619" s="7"/>
      <c r="Z619" s="6"/>
      <c r="AA619" s="6"/>
      <c r="AB619" s="5"/>
    </row>
    <row r="620" spans="1:28" ht="12.75" customHeight="1" x14ac:dyDescent="0.2">
      <c r="A620" s="6"/>
      <c r="D620" s="6"/>
      <c r="F620" s="6"/>
      <c r="G620" s="6"/>
      <c r="H620" s="6"/>
      <c r="I620" s="6"/>
      <c r="K620" s="6"/>
      <c r="L620" s="6"/>
      <c r="N620" s="6"/>
      <c r="O620" s="6"/>
      <c r="P620" s="6"/>
      <c r="R620" s="6"/>
      <c r="V620" s="7"/>
      <c r="Z620" s="6"/>
      <c r="AA620" s="6"/>
      <c r="AB620" s="5"/>
    </row>
    <row r="621" spans="1:28" ht="12.75" customHeight="1" x14ac:dyDescent="0.2">
      <c r="A621" s="6"/>
      <c r="D621" s="6"/>
      <c r="F621" s="6"/>
      <c r="G621" s="6"/>
      <c r="H621" s="6"/>
      <c r="I621" s="6"/>
      <c r="K621" s="6"/>
      <c r="L621" s="6"/>
      <c r="N621" s="6"/>
      <c r="O621" s="6"/>
      <c r="P621" s="6"/>
      <c r="R621" s="6"/>
      <c r="V621" s="7"/>
      <c r="Z621" s="6"/>
      <c r="AA621" s="6"/>
      <c r="AB621" s="5"/>
    </row>
    <row r="622" spans="1:28" ht="12.75" customHeight="1" x14ac:dyDescent="0.2">
      <c r="A622" s="6"/>
      <c r="D622" s="6"/>
      <c r="F622" s="6"/>
      <c r="G622" s="6"/>
      <c r="H622" s="6"/>
      <c r="I622" s="6"/>
      <c r="K622" s="6"/>
      <c r="L622" s="6"/>
      <c r="N622" s="6"/>
      <c r="O622" s="6"/>
      <c r="P622" s="6"/>
      <c r="R622" s="6"/>
      <c r="V622" s="7"/>
      <c r="Z622" s="6"/>
      <c r="AA622" s="6"/>
      <c r="AB622" s="5"/>
    </row>
    <row r="623" spans="1:28" ht="12.75" customHeight="1" x14ac:dyDescent="0.2">
      <c r="A623" s="6"/>
      <c r="D623" s="6"/>
      <c r="F623" s="6"/>
      <c r="G623" s="6"/>
      <c r="H623" s="6"/>
      <c r="I623" s="6"/>
      <c r="K623" s="6"/>
      <c r="L623" s="6"/>
      <c r="N623" s="6"/>
      <c r="O623" s="6"/>
      <c r="P623" s="6"/>
      <c r="R623" s="6"/>
      <c r="V623" s="7"/>
      <c r="Z623" s="6"/>
      <c r="AA623" s="6"/>
      <c r="AB623" s="5"/>
    </row>
    <row r="624" spans="1:28" ht="12.75" customHeight="1" x14ac:dyDescent="0.2">
      <c r="A624" s="6"/>
      <c r="D624" s="6"/>
      <c r="F624" s="6"/>
      <c r="G624" s="6"/>
      <c r="H624" s="6"/>
      <c r="I624" s="6"/>
      <c r="K624" s="6"/>
      <c r="L624" s="6"/>
      <c r="N624" s="6"/>
      <c r="O624" s="6"/>
      <c r="P624" s="6"/>
      <c r="R624" s="6"/>
      <c r="V624" s="7"/>
      <c r="Z624" s="6"/>
      <c r="AA624" s="6"/>
      <c r="AB624" s="5"/>
    </row>
    <row r="625" spans="1:28" ht="12.75" customHeight="1" x14ac:dyDescent="0.2">
      <c r="A625" s="6"/>
      <c r="D625" s="6"/>
      <c r="F625" s="6"/>
      <c r="G625" s="6"/>
      <c r="H625" s="6"/>
      <c r="I625" s="6"/>
      <c r="K625" s="6"/>
      <c r="L625" s="6"/>
      <c r="N625" s="6"/>
      <c r="O625" s="6"/>
      <c r="P625" s="6"/>
      <c r="R625" s="6"/>
      <c r="V625" s="7"/>
      <c r="Z625" s="6"/>
      <c r="AA625" s="6"/>
      <c r="AB625" s="5"/>
    </row>
    <row r="626" spans="1:28" ht="12.75" customHeight="1" x14ac:dyDescent="0.2">
      <c r="A626" s="6"/>
      <c r="D626" s="6"/>
      <c r="F626" s="6"/>
      <c r="G626" s="6"/>
      <c r="H626" s="6"/>
      <c r="I626" s="6"/>
      <c r="K626" s="6"/>
      <c r="L626" s="6"/>
      <c r="N626" s="6"/>
      <c r="O626" s="6"/>
      <c r="P626" s="6"/>
      <c r="R626" s="6"/>
      <c r="V626" s="7"/>
      <c r="Z626" s="6"/>
      <c r="AA626" s="6"/>
      <c r="AB626" s="5"/>
    </row>
    <row r="627" spans="1:28" ht="12.75" customHeight="1" x14ac:dyDescent="0.2">
      <c r="A627" s="6"/>
      <c r="D627" s="6"/>
      <c r="F627" s="6"/>
      <c r="G627" s="6"/>
      <c r="H627" s="6"/>
      <c r="I627" s="6"/>
      <c r="K627" s="6"/>
      <c r="L627" s="6"/>
      <c r="N627" s="6"/>
      <c r="O627" s="6"/>
      <c r="P627" s="6"/>
      <c r="R627" s="6"/>
      <c r="V627" s="7"/>
      <c r="Z627" s="6"/>
      <c r="AA627" s="6"/>
      <c r="AB627" s="5"/>
    </row>
    <row r="628" spans="1:28" ht="12.75" customHeight="1" x14ac:dyDescent="0.2">
      <c r="A628" s="6"/>
      <c r="D628" s="6"/>
      <c r="F628" s="6"/>
      <c r="G628" s="6"/>
      <c r="H628" s="6"/>
      <c r="I628" s="6"/>
      <c r="K628" s="6"/>
      <c r="L628" s="6"/>
      <c r="N628" s="6"/>
      <c r="O628" s="6"/>
      <c r="P628" s="6"/>
      <c r="R628" s="6"/>
      <c r="V628" s="7"/>
      <c r="Z628" s="6"/>
      <c r="AA628" s="6"/>
      <c r="AB628" s="5"/>
    </row>
    <row r="629" spans="1:28" ht="12.75" customHeight="1" x14ac:dyDescent="0.2">
      <c r="A629" s="6"/>
      <c r="D629" s="6"/>
      <c r="F629" s="6"/>
      <c r="G629" s="6"/>
      <c r="H629" s="6"/>
      <c r="I629" s="6"/>
      <c r="K629" s="6"/>
      <c r="L629" s="6"/>
      <c r="N629" s="6"/>
      <c r="O629" s="6"/>
      <c r="P629" s="6"/>
      <c r="R629" s="6"/>
      <c r="V629" s="7"/>
      <c r="Z629" s="6"/>
      <c r="AA629" s="6"/>
      <c r="AB629" s="5"/>
    </row>
    <row r="630" spans="1:28" ht="12.75" customHeight="1" x14ac:dyDescent="0.2">
      <c r="A630" s="6"/>
      <c r="D630" s="6"/>
      <c r="F630" s="6"/>
      <c r="G630" s="6"/>
      <c r="H630" s="6"/>
      <c r="I630" s="6"/>
      <c r="K630" s="6"/>
      <c r="L630" s="6"/>
      <c r="N630" s="6"/>
      <c r="O630" s="6"/>
      <c r="P630" s="6"/>
      <c r="R630" s="6"/>
      <c r="V630" s="7"/>
      <c r="Z630" s="6"/>
      <c r="AA630" s="6"/>
      <c r="AB630" s="5"/>
    </row>
    <row r="631" spans="1:28" ht="12.75" customHeight="1" x14ac:dyDescent="0.2">
      <c r="A631" s="6"/>
      <c r="D631" s="6"/>
      <c r="F631" s="6"/>
      <c r="G631" s="6"/>
      <c r="H631" s="6"/>
      <c r="I631" s="6"/>
      <c r="K631" s="6"/>
      <c r="L631" s="6"/>
      <c r="N631" s="6"/>
      <c r="O631" s="6"/>
      <c r="P631" s="6"/>
      <c r="R631" s="6"/>
      <c r="V631" s="7"/>
      <c r="Z631" s="6"/>
      <c r="AA631" s="6"/>
      <c r="AB631" s="5"/>
    </row>
    <row r="632" spans="1:28" ht="12.75" customHeight="1" x14ac:dyDescent="0.2">
      <c r="A632" s="6"/>
      <c r="D632" s="6"/>
      <c r="F632" s="6"/>
      <c r="G632" s="6"/>
      <c r="H632" s="6"/>
      <c r="I632" s="6"/>
      <c r="K632" s="6"/>
      <c r="L632" s="6"/>
      <c r="N632" s="6"/>
      <c r="O632" s="6"/>
      <c r="P632" s="6"/>
      <c r="R632" s="6"/>
      <c r="V632" s="7"/>
      <c r="Z632" s="6"/>
      <c r="AA632" s="6"/>
      <c r="AB632" s="5"/>
    </row>
    <row r="633" spans="1:28" ht="12.75" customHeight="1" x14ac:dyDescent="0.2">
      <c r="A633" s="6"/>
      <c r="D633" s="6"/>
      <c r="F633" s="6"/>
      <c r="G633" s="6"/>
      <c r="H633" s="6"/>
      <c r="I633" s="6"/>
      <c r="K633" s="6"/>
      <c r="L633" s="6"/>
      <c r="N633" s="6"/>
      <c r="O633" s="6"/>
      <c r="P633" s="6"/>
      <c r="R633" s="6"/>
      <c r="V633" s="7"/>
      <c r="Z633" s="6"/>
      <c r="AA633" s="6"/>
      <c r="AB633" s="5"/>
    </row>
    <row r="634" spans="1:28" ht="12.75" customHeight="1" x14ac:dyDescent="0.2">
      <c r="A634" s="6"/>
      <c r="D634" s="6"/>
      <c r="F634" s="6"/>
      <c r="G634" s="6"/>
      <c r="H634" s="6"/>
      <c r="I634" s="6"/>
      <c r="K634" s="6"/>
      <c r="L634" s="6"/>
      <c r="N634" s="6"/>
      <c r="O634" s="6"/>
      <c r="P634" s="6"/>
      <c r="R634" s="6"/>
      <c r="V634" s="7"/>
      <c r="Z634" s="6"/>
      <c r="AA634" s="6"/>
      <c r="AB634" s="5"/>
    </row>
    <row r="635" spans="1:28" ht="12.75" customHeight="1" x14ac:dyDescent="0.2">
      <c r="A635" s="6"/>
      <c r="D635" s="6"/>
      <c r="F635" s="6"/>
      <c r="G635" s="6"/>
      <c r="H635" s="6"/>
      <c r="I635" s="6"/>
      <c r="K635" s="6"/>
      <c r="L635" s="6"/>
      <c r="N635" s="6"/>
      <c r="O635" s="6"/>
      <c r="P635" s="6"/>
      <c r="R635" s="6"/>
      <c r="V635" s="7"/>
      <c r="Z635" s="6"/>
      <c r="AA635" s="6"/>
      <c r="AB635" s="5"/>
    </row>
    <row r="636" spans="1:28" ht="12.75" customHeight="1" x14ac:dyDescent="0.2">
      <c r="A636" s="6"/>
      <c r="D636" s="6"/>
      <c r="F636" s="6"/>
      <c r="G636" s="6"/>
      <c r="H636" s="6"/>
      <c r="I636" s="6"/>
      <c r="K636" s="6"/>
      <c r="L636" s="6"/>
      <c r="N636" s="6"/>
      <c r="O636" s="6"/>
      <c r="P636" s="6"/>
      <c r="R636" s="6"/>
      <c r="V636" s="7"/>
      <c r="Z636" s="6"/>
      <c r="AA636" s="6"/>
      <c r="AB636" s="5"/>
    </row>
    <row r="637" spans="1:28" ht="12.75" customHeight="1" x14ac:dyDescent="0.2">
      <c r="A637" s="6"/>
      <c r="D637" s="6"/>
      <c r="F637" s="6"/>
      <c r="G637" s="6"/>
      <c r="H637" s="6"/>
      <c r="I637" s="6"/>
      <c r="K637" s="6"/>
      <c r="L637" s="6"/>
      <c r="N637" s="6"/>
      <c r="O637" s="6"/>
      <c r="P637" s="6"/>
      <c r="R637" s="6"/>
      <c r="V637" s="7"/>
      <c r="Z637" s="6"/>
      <c r="AA637" s="6"/>
      <c r="AB637" s="5"/>
    </row>
    <row r="638" spans="1:28" ht="12.75" customHeight="1" x14ac:dyDescent="0.2">
      <c r="A638" s="6"/>
      <c r="D638" s="6"/>
      <c r="F638" s="6"/>
      <c r="G638" s="6"/>
      <c r="H638" s="6"/>
      <c r="I638" s="6"/>
      <c r="K638" s="6"/>
      <c r="L638" s="6"/>
      <c r="N638" s="6"/>
      <c r="O638" s="6"/>
      <c r="P638" s="6"/>
      <c r="R638" s="6"/>
      <c r="V638" s="7"/>
      <c r="Z638" s="6"/>
      <c r="AA638" s="6"/>
      <c r="AB638" s="5"/>
    </row>
    <row r="639" spans="1:28" ht="12.75" customHeight="1" x14ac:dyDescent="0.2">
      <c r="A639" s="6"/>
      <c r="D639" s="6"/>
      <c r="F639" s="6"/>
      <c r="G639" s="6"/>
      <c r="H639" s="6"/>
      <c r="I639" s="6"/>
      <c r="K639" s="6"/>
      <c r="L639" s="6"/>
      <c r="N639" s="6"/>
      <c r="O639" s="6"/>
      <c r="P639" s="6"/>
      <c r="R639" s="6"/>
      <c r="V639" s="7"/>
      <c r="Z639" s="6"/>
      <c r="AA639" s="6"/>
      <c r="AB639" s="5"/>
    </row>
    <row r="640" spans="1:28" ht="12.75" customHeight="1" x14ac:dyDescent="0.2">
      <c r="A640" s="6"/>
      <c r="D640" s="6"/>
      <c r="F640" s="6"/>
      <c r="G640" s="6"/>
      <c r="H640" s="6"/>
      <c r="I640" s="6"/>
      <c r="K640" s="6"/>
      <c r="L640" s="6"/>
      <c r="N640" s="6"/>
      <c r="O640" s="6"/>
      <c r="P640" s="6"/>
      <c r="R640" s="6"/>
      <c r="V640" s="7"/>
      <c r="Z640" s="6"/>
      <c r="AA640" s="6"/>
      <c r="AB640" s="5"/>
    </row>
    <row r="641" spans="1:28" ht="12.75" customHeight="1" x14ac:dyDescent="0.2">
      <c r="A641" s="6"/>
      <c r="D641" s="6"/>
      <c r="F641" s="6"/>
      <c r="G641" s="6"/>
      <c r="H641" s="6"/>
      <c r="I641" s="6"/>
      <c r="K641" s="6"/>
      <c r="L641" s="6"/>
      <c r="N641" s="6"/>
      <c r="O641" s="6"/>
      <c r="P641" s="6"/>
      <c r="R641" s="6"/>
      <c r="V641" s="7"/>
      <c r="Z641" s="6"/>
      <c r="AA641" s="6"/>
      <c r="AB641" s="5"/>
    </row>
    <row r="642" spans="1:28" ht="12.75" customHeight="1" x14ac:dyDescent="0.2">
      <c r="A642" s="6"/>
      <c r="D642" s="6"/>
      <c r="F642" s="6"/>
      <c r="G642" s="6"/>
      <c r="H642" s="6"/>
      <c r="I642" s="6"/>
      <c r="K642" s="6"/>
      <c r="L642" s="6"/>
      <c r="N642" s="6"/>
      <c r="O642" s="6"/>
      <c r="P642" s="6"/>
      <c r="R642" s="6"/>
      <c r="V642" s="7"/>
      <c r="Z642" s="6"/>
      <c r="AA642" s="6"/>
      <c r="AB642" s="5"/>
    </row>
    <row r="643" spans="1:28" ht="12.75" customHeight="1" x14ac:dyDescent="0.2">
      <c r="A643" s="6"/>
      <c r="D643" s="6"/>
      <c r="F643" s="6"/>
      <c r="G643" s="6"/>
      <c r="H643" s="6"/>
      <c r="I643" s="6"/>
      <c r="K643" s="6"/>
      <c r="L643" s="6"/>
      <c r="N643" s="6"/>
      <c r="O643" s="6"/>
      <c r="P643" s="6"/>
      <c r="R643" s="6"/>
      <c r="V643" s="7"/>
      <c r="Z643" s="6"/>
      <c r="AA643" s="6"/>
      <c r="AB643" s="5"/>
    </row>
    <row r="644" spans="1:28" ht="12.75" customHeight="1" x14ac:dyDescent="0.2">
      <c r="A644" s="6"/>
      <c r="D644" s="6"/>
      <c r="F644" s="6"/>
      <c r="G644" s="6"/>
      <c r="H644" s="6"/>
      <c r="I644" s="6"/>
      <c r="K644" s="6"/>
      <c r="L644" s="6"/>
      <c r="N644" s="6"/>
      <c r="O644" s="6"/>
      <c r="P644" s="6"/>
      <c r="R644" s="6"/>
      <c r="V644" s="7"/>
      <c r="Z644" s="6"/>
      <c r="AA644" s="6"/>
      <c r="AB644" s="5"/>
    </row>
    <row r="645" spans="1:28" ht="12.75" customHeight="1" x14ac:dyDescent="0.2">
      <c r="A645" s="6"/>
      <c r="D645" s="6"/>
      <c r="F645" s="6"/>
      <c r="G645" s="6"/>
      <c r="H645" s="6"/>
      <c r="I645" s="6"/>
      <c r="K645" s="6"/>
      <c r="L645" s="6"/>
      <c r="N645" s="6"/>
      <c r="O645" s="6"/>
      <c r="P645" s="6"/>
      <c r="R645" s="6"/>
      <c r="V645" s="7"/>
      <c r="Z645" s="6"/>
      <c r="AA645" s="6"/>
      <c r="AB645" s="5"/>
    </row>
    <row r="646" spans="1:28" ht="12.75" customHeight="1" x14ac:dyDescent="0.2">
      <c r="A646" s="6"/>
      <c r="D646" s="6"/>
      <c r="F646" s="6"/>
      <c r="G646" s="6"/>
      <c r="H646" s="6"/>
      <c r="I646" s="6"/>
      <c r="K646" s="6"/>
      <c r="L646" s="6"/>
      <c r="N646" s="6"/>
      <c r="O646" s="6"/>
      <c r="P646" s="6"/>
      <c r="R646" s="6"/>
      <c r="V646" s="7"/>
      <c r="Z646" s="6"/>
      <c r="AA646" s="6"/>
      <c r="AB646" s="5"/>
    </row>
    <row r="647" spans="1:28" ht="12.75" customHeight="1" x14ac:dyDescent="0.2">
      <c r="A647" s="6"/>
      <c r="D647" s="6"/>
      <c r="F647" s="6"/>
      <c r="G647" s="6"/>
      <c r="H647" s="6"/>
      <c r="I647" s="6"/>
      <c r="K647" s="6"/>
      <c r="L647" s="6"/>
      <c r="N647" s="6"/>
      <c r="O647" s="6"/>
      <c r="P647" s="6"/>
      <c r="R647" s="6"/>
      <c r="V647" s="7"/>
      <c r="Z647" s="6"/>
      <c r="AA647" s="6"/>
      <c r="AB647" s="5"/>
    </row>
    <row r="648" spans="1:28" ht="12.75" customHeight="1" x14ac:dyDescent="0.2">
      <c r="A648" s="6"/>
      <c r="D648" s="6"/>
      <c r="F648" s="6"/>
      <c r="G648" s="6"/>
      <c r="H648" s="6"/>
      <c r="I648" s="6"/>
      <c r="K648" s="6"/>
      <c r="L648" s="6"/>
      <c r="N648" s="6"/>
      <c r="O648" s="6"/>
      <c r="P648" s="6"/>
      <c r="R648" s="6"/>
      <c r="V648" s="7"/>
      <c r="Z648" s="6"/>
      <c r="AA648" s="6"/>
      <c r="AB648" s="5"/>
    </row>
    <row r="649" spans="1:28" ht="12.75" customHeight="1" x14ac:dyDescent="0.2">
      <c r="A649" s="6"/>
      <c r="D649" s="6"/>
      <c r="F649" s="6"/>
      <c r="G649" s="6"/>
      <c r="H649" s="6"/>
      <c r="I649" s="6"/>
      <c r="K649" s="6"/>
      <c r="L649" s="6"/>
      <c r="N649" s="6"/>
      <c r="O649" s="6"/>
      <c r="P649" s="6"/>
      <c r="R649" s="6"/>
      <c r="V649" s="7"/>
      <c r="Z649" s="6"/>
      <c r="AA649" s="6"/>
      <c r="AB649" s="5"/>
    </row>
    <row r="650" spans="1:28" ht="12.75" customHeight="1" x14ac:dyDescent="0.2">
      <c r="A650" s="6"/>
      <c r="D650" s="6"/>
      <c r="F650" s="6"/>
      <c r="G650" s="6"/>
      <c r="H650" s="6"/>
      <c r="I650" s="6"/>
      <c r="K650" s="6"/>
      <c r="L650" s="6"/>
      <c r="N650" s="6"/>
      <c r="O650" s="6"/>
      <c r="P650" s="6"/>
      <c r="R650" s="6"/>
      <c r="V650" s="7"/>
      <c r="Z650" s="6"/>
      <c r="AA650" s="6"/>
      <c r="AB650" s="5"/>
    </row>
    <row r="651" spans="1:28" ht="12.75" customHeight="1" x14ac:dyDescent="0.2">
      <c r="A651" s="6"/>
      <c r="D651" s="6"/>
      <c r="F651" s="6"/>
      <c r="G651" s="6"/>
      <c r="H651" s="6"/>
      <c r="I651" s="6"/>
      <c r="K651" s="6"/>
      <c r="L651" s="6"/>
      <c r="N651" s="6"/>
      <c r="O651" s="6"/>
      <c r="P651" s="6"/>
      <c r="R651" s="6"/>
      <c r="V651" s="7"/>
      <c r="Z651" s="6"/>
      <c r="AA651" s="6"/>
      <c r="AB651" s="5"/>
    </row>
    <row r="652" spans="1:28" ht="12.75" customHeight="1" x14ac:dyDescent="0.2">
      <c r="A652" s="6"/>
      <c r="D652" s="6"/>
      <c r="F652" s="6"/>
      <c r="G652" s="6"/>
      <c r="H652" s="6"/>
      <c r="I652" s="6"/>
      <c r="K652" s="6"/>
      <c r="L652" s="6"/>
      <c r="N652" s="6"/>
      <c r="O652" s="6"/>
      <c r="P652" s="6"/>
      <c r="R652" s="6"/>
      <c r="V652" s="7"/>
      <c r="Z652" s="6"/>
      <c r="AA652" s="6"/>
      <c r="AB652" s="5"/>
    </row>
    <row r="653" spans="1:28" ht="12.75" customHeight="1" x14ac:dyDescent="0.2">
      <c r="A653" s="6"/>
      <c r="D653" s="6"/>
      <c r="F653" s="6"/>
      <c r="G653" s="6"/>
      <c r="H653" s="6"/>
      <c r="I653" s="6"/>
      <c r="K653" s="6"/>
      <c r="L653" s="6"/>
      <c r="N653" s="6"/>
      <c r="O653" s="6"/>
      <c r="P653" s="6"/>
      <c r="R653" s="6"/>
      <c r="V653" s="7"/>
      <c r="Z653" s="6"/>
      <c r="AA653" s="6"/>
      <c r="AB653" s="5"/>
    </row>
    <row r="654" spans="1:28" ht="12.75" customHeight="1" x14ac:dyDescent="0.2">
      <c r="A654" s="6"/>
      <c r="D654" s="6"/>
      <c r="F654" s="6"/>
      <c r="G654" s="6"/>
      <c r="H654" s="6"/>
      <c r="I654" s="6"/>
      <c r="K654" s="6"/>
      <c r="L654" s="6"/>
      <c r="N654" s="6"/>
      <c r="O654" s="6"/>
      <c r="P654" s="6"/>
      <c r="R654" s="6"/>
      <c r="V654" s="7"/>
      <c r="Z654" s="6"/>
      <c r="AA654" s="6"/>
      <c r="AB654" s="5"/>
    </row>
    <row r="655" spans="1:28" ht="12.75" customHeight="1" x14ac:dyDescent="0.2">
      <c r="A655" s="6"/>
      <c r="D655" s="6"/>
      <c r="F655" s="6"/>
      <c r="G655" s="6"/>
      <c r="H655" s="6"/>
      <c r="I655" s="6"/>
      <c r="K655" s="6"/>
      <c r="L655" s="6"/>
      <c r="N655" s="6"/>
      <c r="O655" s="6"/>
      <c r="P655" s="6"/>
      <c r="R655" s="6"/>
      <c r="V655" s="7"/>
      <c r="Z655" s="6"/>
      <c r="AA655" s="6"/>
      <c r="AB655" s="5"/>
    </row>
    <row r="656" spans="1:28" ht="12.75" customHeight="1" x14ac:dyDescent="0.2">
      <c r="A656" s="6"/>
      <c r="D656" s="6"/>
      <c r="F656" s="6"/>
      <c r="G656" s="6"/>
      <c r="H656" s="6"/>
      <c r="I656" s="6"/>
      <c r="K656" s="6"/>
      <c r="L656" s="6"/>
      <c r="N656" s="6"/>
      <c r="O656" s="6"/>
      <c r="P656" s="6"/>
      <c r="R656" s="6"/>
      <c r="V656" s="7"/>
      <c r="Z656" s="6"/>
      <c r="AA656" s="6"/>
      <c r="AB656" s="5"/>
    </row>
    <row r="657" spans="1:28" ht="12.75" customHeight="1" x14ac:dyDescent="0.2">
      <c r="A657" s="6"/>
      <c r="D657" s="6"/>
      <c r="F657" s="6"/>
      <c r="G657" s="6"/>
      <c r="H657" s="6"/>
      <c r="I657" s="6"/>
      <c r="K657" s="6"/>
      <c r="L657" s="6"/>
      <c r="N657" s="6"/>
      <c r="O657" s="6"/>
      <c r="P657" s="6"/>
      <c r="R657" s="6"/>
      <c r="V657" s="7"/>
      <c r="Z657" s="6"/>
      <c r="AA657" s="6"/>
      <c r="AB657" s="5"/>
    </row>
    <row r="658" spans="1:28" ht="12.75" customHeight="1" x14ac:dyDescent="0.2">
      <c r="A658" s="6"/>
      <c r="D658" s="6"/>
      <c r="F658" s="6"/>
      <c r="G658" s="6"/>
      <c r="H658" s="6"/>
      <c r="I658" s="6"/>
      <c r="K658" s="6"/>
      <c r="L658" s="6"/>
      <c r="N658" s="6"/>
      <c r="O658" s="6"/>
      <c r="P658" s="6"/>
      <c r="R658" s="6"/>
      <c r="V658" s="7"/>
      <c r="Z658" s="6"/>
      <c r="AA658" s="6"/>
      <c r="AB658" s="5"/>
    </row>
    <row r="659" spans="1:28" ht="12.75" customHeight="1" x14ac:dyDescent="0.2">
      <c r="A659" s="6"/>
      <c r="D659" s="6"/>
      <c r="F659" s="6"/>
      <c r="G659" s="6"/>
      <c r="H659" s="6"/>
      <c r="I659" s="6"/>
      <c r="K659" s="6"/>
      <c r="L659" s="6"/>
      <c r="N659" s="6"/>
      <c r="O659" s="6"/>
      <c r="P659" s="6"/>
      <c r="R659" s="6"/>
      <c r="V659" s="7"/>
      <c r="Z659" s="6"/>
      <c r="AA659" s="6"/>
      <c r="AB659" s="5"/>
    </row>
    <row r="660" spans="1:28" ht="12.75" customHeight="1" x14ac:dyDescent="0.2">
      <c r="A660" s="6"/>
      <c r="D660" s="6"/>
      <c r="F660" s="6"/>
      <c r="G660" s="6"/>
      <c r="H660" s="6"/>
      <c r="I660" s="6"/>
      <c r="K660" s="6"/>
      <c r="L660" s="6"/>
      <c r="N660" s="6"/>
      <c r="O660" s="6"/>
      <c r="P660" s="6"/>
      <c r="R660" s="6"/>
      <c r="V660" s="7"/>
      <c r="Z660" s="6"/>
      <c r="AA660" s="6"/>
      <c r="AB660" s="5"/>
    </row>
    <row r="661" spans="1:28" ht="12.75" customHeight="1" x14ac:dyDescent="0.2">
      <c r="A661" s="6"/>
      <c r="D661" s="6"/>
      <c r="F661" s="6"/>
      <c r="G661" s="6"/>
      <c r="H661" s="6"/>
      <c r="I661" s="6"/>
      <c r="K661" s="6"/>
      <c r="L661" s="6"/>
      <c r="N661" s="6"/>
      <c r="O661" s="6"/>
      <c r="P661" s="6"/>
      <c r="R661" s="6"/>
      <c r="V661" s="7"/>
      <c r="Z661" s="6"/>
      <c r="AA661" s="6"/>
      <c r="AB661" s="5"/>
    </row>
    <row r="662" spans="1:28" ht="12.75" customHeight="1" x14ac:dyDescent="0.2">
      <c r="A662" s="6"/>
      <c r="D662" s="6"/>
      <c r="F662" s="6"/>
      <c r="G662" s="6"/>
      <c r="H662" s="6"/>
      <c r="I662" s="6"/>
      <c r="K662" s="6"/>
      <c r="L662" s="6"/>
      <c r="N662" s="6"/>
      <c r="O662" s="6"/>
      <c r="P662" s="6"/>
      <c r="R662" s="6"/>
      <c r="V662" s="7"/>
      <c r="Z662" s="6"/>
      <c r="AA662" s="6"/>
      <c r="AB662" s="5"/>
    </row>
    <row r="663" spans="1:28" ht="12.75" customHeight="1" x14ac:dyDescent="0.2">
      <c r="A663" s="6"/>
      <c r="D663" s="6"/>
      <c r="F663" s="6"/>
      <c r="G663" s="6"/>
      <c r="H663" s="6"/>
      <c r="I663" s="6"/>
      <c r="K663" s="6"/>
      <c r="L663" s="6"/>
      <c r="N663" s="6"/>
      <c r="O663" s="6"/>
      <c r="P663" s="6"/>
      <c r="R663" s="6"/>
      <c r="V663" s="7"/>
      <c r="Z663" s="6"/>
      <c r="AA663" s="6"/>
      <c r="AB663" s="5"/>
    </row>
    <row r="664" spans="1:28" ht="12.75" customHeight="1" x14ac:dyDescent="0.2">
      <c r="A664" s="6"/>
      <c r="D664" s="6"/>
      <c r="F664" s="6"/>
      <c r="G664" s="6"/>
      <c r="H664" s="6"/>
      <c r="I664" s="6"/>
      <c r="K664" s="6"/>
      <c r="L664" s="6"/>
      <c r="N664" s="6"/>
      <c r="O664" s="6"/>
      <c r="P664" s="6"/>
      <c r="R664" s="6"/>
      <c r="V664" s="7"/>
      <c r="Z664" s="6"/>
      <c r="AA664" s="6"/>
      <c r="AB664" s="5"/>
    </row>
    <row r="665" spans="1:28" ht="12.75" customHeight="1" x14ac:dyDescent="0.2">
      <c r="A665" s="6"/>
      <c r="D665" s="6"/>
      <c r="F665" s="6"/>
      <c r="G665" s="6"/>
      <c r="H665" s="6"/>
      <c r="I665" s="6"/>
      <c r="K665" s="6"/>
      <c r="L665" s="6"/>
      <c r="N665" s="6"/>
      <c r="O665" s="6"/>
      <c r="P665" s="6"/>
      <c r="R665" s="6"/>
      <c r="V665" s="7"/>
      <c r="Z665" s="6"/>
      <c r="AA665" s="6"/>
      <c r="AB665" s="5"/>
    </row>
    <row r="666" spans="1:28" ht="12.75" customHeight="1" x14ac:dyDescent="0.2">
      <c r="A666" s="6"/>
      <c r="D666" s="6"/>
      <c r="F666" s="6"/>
      <c r="G666" s="6"/>
      <c r="H666" s="6"/>
      <c r="I666" s="6"/>
      <c r="K666" s="6"/>
      <c r="L666" s="6"/>
      <c r="N666" s="6"/>
      <c r="O666" s="6"/>
      <c r="P666" s="6"/>
      <c r="R666" s="6"/>
      <c r="V666" s="7"/>
      <c r="Z666" s="6"/>
      <c r="AA666" s="6"/>
      <c r="AB666" s="5"/>
    </row>
    <row r="667" spans="1:28" ht="12.75" customHeight="1" x14ac:dyDescent="0.2">
      <c r="A667" s="6"/>
      <c r="D667" s="6"/>
      <c r="F667" s="6"/>
      <c r="G667" s="6"/>
      <c r="H667" s="6"/>
      <c r="I667" s="6"/>
      <c r="K667" s="6"/>
      <c r="L667" s="6"/>
      <c r="N667" s="6"/>
      <c r="O667" s="6"/>
      <c r="P667" s="6"/>
      <c r="R667" s="6"/>
      <c r="V667" s="7"/>
      <c r="Z667" s="6"/>
      <c r="AA667" s="6"/>
      <c r="AB667" s="5"/>
    </row>
    <row r="668" spans="1:28" ht="12.75" customHeight="1" x14ac:dyDescent="0.2">
      <c r="A668" s="6"/>
      <c r="D668" s="6"/>
      <c r="F668" s="6"/>
      <c r="G668" s="6"/>
      <c r="H668" s="6"/>
      <c r="I668" s="6"/>
      <c r="K668" s="6"/>
      <c r="L668" s="6"/>
      <c r="N668" s="6"/>
      <c r="O668" s="6"/>
      <c r="P668" s="6"/>
      <c r="R668" s="6"/>
      <c r="V668" s="7"/>
      <c r="Z668" s="6"/>
      <c r="AA668" s="6"/>
      <c r="AB668" s="5"/>
    </row>
    <row r="669" spans="1:28" ht="12.75" customHeight="1" x14ac:dyDescent="0.2">
      <c r="A669" s="6"/>
      <c r="D669" s="6"/>
      <c r="F669" s="6"/>
      <c r="G669" s="6"/>
      <c r="H669" s="6"/>
      <c r="I669" s="6"/>
      <c r="K669" s="6"/>
      <c r="L669" s="6"/>
      <c r="N669" s="6"/>
      <c r="O669" s="6"/>
      <c r="P669" s="6"/>
      <c r="R669" s="6"/>
      <c r="V669" s="7"/>
      <c r="Z669" s="6"/>
      <c r="AA669" s="6"/>
      <c r="AB669" s="5"/>
    </row>
    <row r="670" spans="1:28" ht="12.75" customHeight="1" x14ac:dyDescent="0.2">
      <c r="A670" s="6"/>
      <c r="D670" s="6"/>
      <c r="F670" s="6"/>
      <c r="G670" s="6"/>
      <c r="H670" s="6"/>
      <c r="I670" s="6"/>
      <c r="K670" s="6"/>
      <c r="L670" s="6"/>
      <c r="N670" s="6"/>
      <c r="O670" s="6"/>
      <c r="P670" s="6"/>
      <c r="R670" s="6"/>
      <c r="V670" s="7"/>
      <c r="Z670" s="6"/>
      <c r="AA670" s="6"/>
      <c r="AB670" s="5"/>
    </row>
    <row r="671" spans="1:28" ht="12.75" customHeight="1" x14ac:dyDescent="0.2">
      <c r="A671" s="6"/>
      <c r="D671" s="6"/>
      <c r="F671" s="6"/>
      <c r="G671" s="6"/>
      <c r="H671" s="6"/>
      <c r="I671" s="6"/>
      <c r="K671" s="6"/>
      <c r="L671" s="6"/>
      <c r="N671" s="6"/>
      <c r="O671" s="6"/>
      <c r="P671" s="6"/>
      <c r="R671" s="6"/>
      <c r="V671" s="7"/>
      <c r="Z671" s="6"/>
      <c r="AA671" s="6"/>
      <c r="AB671" s="5"/>
    </row>
    <row r="672" spans="1:28" ht="12.75" customHeight="1" x14ac:dyDescent="0.2">
      <c r="A672" s="6"/>
      <c r="D672" s="6"/>
      <c r="F672" s="6"/>
      <c r="G672" s="6"/>
      <c r="H672" s="6"/>
      <c r="I672" s="6"/>
      <c r="K672" s="6"/>
      <c r="L672" s="6"/>
      <c r="N672" s="6"/>
      <c r="O672" s="6"/>
      <c r="P672" s="6"/>
      <c r="R672" s="6"/>
      <c r="V672" s="7"/>
      <c r="Z672" s="6"/>
      <c r="AA672" s="6"/>
      <c r="AB672" s="5"/>
    </row>
    <row r="673" spans="1:28" ht="12.75" customHeight="1" x14ac:dyDescent="0.2">
      <c r="A673" s="6"/>
      <c r="D673" s="6"/>
      <c r="F673" s="6"/>
      <c r="G673" s="6"/>
      <c r="H673" s="6"/>
      <c r="I673" s="6"/>
      <c r="K673" s="6"/>
      <c r="L673" s="6"/>
      <c r="N673" s="6"/>
      <c r="O673" s="6"/>
      <c r="P673" s="6"/>
      <c r="R673" s="6"/>
      <c r="V673" s="7"/>
      <c r="Z673" s="6"/>
      <c r="AA673" s="6"/>
      <c r="AB673" s="5"/>
    </row>
    <row r="674" spans="1:28" ht="12.75" customHeight="1" x14ac:dyDescent="0.2">
      <c r="A674" s="6"/>
      <c r="D674" s="6"/>
      <c r="F674" s="6"/>
      <c r="G674" s="6"/>
      <c r="H674" s="6"/>
      <c r="I674" s="6"/>
      <c r="K674" s="6"/>
      <c r="L674" s="6"/>
      <c r="N674" s="6"/>
      <c r="O674" s="6"/>
      <c r="P674" s="6"/>
      <c r="R674" s="6"/>
      <c r="V674" s="7"/>
      <c r="Z674" s="6"/>
      <c r="AA674" s="6"/>
      <c r="AB674" s="5"/>
    </row>
    <row r="675" spans="1:28" ht="12.75" customHeight="1" x14ac:dyDescent="0.2">
      <c r="A675" s="6"/>
      <c r="D675" s="6"/>
      <c r="F675" s="6"/>
      <c r="G675" s="6"/>
      <c r="H675" s="6"/>
      <c r="I675" s="6"/>
      <c r="K675" s="6"/>
      <c r="L675" s="6"/>
      <c r="N675" s="6"/>
      <c r="O675" s="6"/>
      <c r="P675" s="6"/>
      <c r="R675" s="6"/>
      <c r="V675" s="7"/>
      <c r="Z675" s="6"/>
      <c r="AA675" s="6"/>
      <c r="AB675" s="5"/>
    </row>
    <row r="676" spans="1:28" ht="12.75" customHeight="1" x14ac:dyDescent="0.2">
      <c r="A676" s="6"/>
      <c r="D676" s="6"/>
      <c r="F676" s="6"/>
      <c r="G676" s="6"/>
      <c r="H676" s="6"/>
      <c r="I676" s="6"/>
      <c r="K676" s="6"/>
      <c r="L676" s="6"/>
      <c r="N676" s="6"/>
      <c r="O676" s="6"/>
      <c r="P676" s="6"/>
      <c r="R676" s="6"/>
      <c r="V676" s="7"/>
      <c r="Z676" s="6"/>
      <c r="AA676" s="6"/>
      <c r="AB676" s="5"/>
    </row>
    <row r="677" spans="1:28" ht="12.75" customHeight="1" x14ac:dyDescent="0.2">
      <c r="A677" s="6"/>
      <c r="D677" s="6"/>
      <c r="F677" s="6"/>
      <c r="G677" s="6"/>
      <c r="H677" s="6"/>
      <c r="I677" s="6"/>
      <c r="K677" s="6"/>
      <c r="L677" s="6"/>
      <c r="N677" s="6"/>
      <c r="O677" s="6"/>
      <c r="P677" s="6"/>
      <c r="R677" s="6"/>
      <c r="V677" s="7"/>
      <c r="Z677" s="6"/>
      <c r="AA677" s="6"/>
      <c r="AB677" s="5"/>
    </row>
    <row r="678" spans="1:28" ht="12.75" customHeight="1" x14ac:dyDescent="0.2">
      <c r="A678" s="6"/>
      <c r="D678" s="6"/>
      <c r="F678" s="6"/>
      <c r="G678" s="6"/>
      <c r="H678" s="6"/>
      <c r="I678" s="6"/>
      <c r="K678" s="6"/>
      <c r="L678" s="6"/>
      <c r="N678" s="6"/>
      <c r="O678" s="6"/>
      <c r="P678" s="6"/>
      <c r="R678" s="6"/>
      <c r="V678" s="7"/>
      <c r="Z678" s="6"/>
      <c r="AA678" s="6"/>
      <c r="AB678" s="5"/>
    </row>
    <row r="679" spans="1:28" ht="12.75" customHeight="1" x14ac:dyDescent="0.2">
      <c r="A679" s="6"/>
      <c r="D679" s="6"/>
      <c r="F679" s="6"/>
      <c r="G679" s="6"/>
      <c r="H679" s="6"/>
      <c r="I679" s="6"/>
      <c r="K679" s="6"/>
      <c r="L679" s="6"/>
      <c r="N679" s="6"/>
      <c r="O679" s="6"/>
      <c r="P679" s="6"/>
      <c r="R679" s="6"/>
      <c r="V679" s="7"/>
      <c r="Z679" s="6"/>
      <c r="AA679" s="6"/>
      <c r="AB679" s="5"/>
    </row>
    <row r="680" spans="1:28" ht="12.75" customHeight="1" x14ac:dyDescent="0.2">
      <c r="A680" s="6"/>
      <c r="D680" s="6"/>
      <c r="F680" s="6"/>
      <c r="G680" s="6"/>
      <c r="H680" s="6"/>
      <c r="I680" s="6"/>
      <c r="K680" s="6"/>
      <c r="L680" s="6"/>
      <c r="N680" s="6"/>
      <c r="O680" s="6"/>
      <c r="P680" s="6"/>
      <c r="R680" s="6"/>
      <c r="V680" s="7"/>
      <c r="Z680" s="6"/>
      <c r="AA680" s="6"/>
      <c r="AB680" s="5"/>
    </row>
    <row r="681" spans="1:28" ht="12.75" customHeight="1" x14ac:dyDescent="0.2">
      <c r="A681" s="6"/>
      <c r="D681" s="6"/>
      <c r="F681" s="6"/>
      <c r="G681" s="6"/>
      <c r="H681" s="6"/>
      <c r="I681" s="6"/>
      <c r="K681" s="6"/>
      <c r="L681" s="6"/>
      <c r="N681" s="6"/>
      <c r="O681" s="6"/>
      <c r="P681" s="6"/>
      <c r="R681" s="6"/>
      <c r="V681" s="7"/>
      <c r="Z681" s="6"/>
      <c r="AA681" s="6"/>
      <c r="AB681" s="5"/>
    </row>
    <row r="682" spans="1:28" ht="12.75" customHeight="1" x14ac:dyDescent="0.2">
      <c r="A682" s="6"/>
      <c r="D682" s="6"/>
      <c r="F682" s="6"/>
      <c r="G682" s="6"/>
      <c r="H682" s="6"/>
      <c r="I682" s="6"/>
      <c r="K682" s="6"/>
      <c r="L682" s="6"/>
      <c r="N682" s="6"/>
      <c r="O682" s="6"/>
      <c r="P682" s="6"/>
      <c r="R682" s="6"/>
      <c r="V682" s="7"/>
      <c r="Z682" s="6"/>
      <c r="AA682" s="6"/>
      <c r="AB682" s="5"/>
    </row>
    <row r="683" spans="1:28" ht="12.75" customHeight="1" x14ac:dyDescent="0.2">
      <c r="A683" s="6"/>
      <c r="D683" s="6"/>
      <c r="F683" s="6"/>
      <c r="G683" s="6"/>
      <c r="H683" s="6"/>
      <c r="I683" s="6"/>
      <c r="K683" s="6"/>
      <c r="L683" s="6"/>
      <c r="N683" s="6"/>
      <c r="O683" s="6"/>
      <c r="P683" s="6"/>
      <c r="R683" s="6"/>
      <c r="V683" s="7"/>
      <c r="Z683" s="6"/>
      <c r="AA683" s="6"/>
      <c r="AB683" s="5"/>
    </row>
    <row r="684" spans="1:28" ht="12.75" customHeight="1" x14ac:dyDescent="0.2">
      <c r="A684" s="6"/>
      <c r="D684" s="6"/>
      <c r="F684" s="6"/>
      <c r="G684" s="6"/>
      <c r="H684" s="6"/>
      <c r="I684" s="6"/>
      <c r="K684" s="6"/>
      <c r="L684" s="6"/>
      <c r="N684" s="6"/>
      <c r="O684" s="6"/>
      <c r="P684" s="6"/>
      <c r="R684" s="6"/>
      <c r="V684" s="7"/>
      <c r="Z684" s="6"/>
      <c r="AA684" s="6"/>
      <c r="AB684" s="5"/>
    </row>
    <row r="685" spans="1:28" ht="12.75" customHeight="1" x14ac:dyDescent="0.2">
      <c r="A685" s="6"/>
      <c r="D685" s="6"/>
      <c r="F685" s="6"/>
      <c r="G685" s="6"/>
      <c r="H685" s="6"/>
      <c r="I685" s="6"/>
      <c r="K685" s="6"/>
      <c r="L685" s="6"/>
      <c r="N685" s="6"/>
      <c r="O685" s="6"/>
      <c r="P685" s="6"/>
      <c r="R685" s="6"/>
      <c r="V685" s="7"/>
      <c r="Z685" s="6"/>
      <c r="AA685" s="6"/>
      <c r="AB685" s="5"/>
    </row>
    <row r="686" spans="1:28" ht="12.75" customHeight="1" x14ac:dyDescent="0.2">
      <c r="A686" s="6"/>
      <c r="D686" s="6"/>
      <c r="F686" s="6"/>
      <c r="G686" s="6"/>
      <c r="H686" s="6"/>
      <c r="I686" s="6"/>
      <c r="K686" s="6"/>
      <c r="L686" s="6"/>
      <c r="N686" s="6"/>
      <c r="O686" s="6"/>
      <c r="P686" s="6"/>
      <c r="R686" s="6"/>
      <c r="V686" s="7"/>
      <c r="Z686" s="6"/>
      <c r="AA686" s="6"/>
      <c r="AB686" s="5"/>
    </row>
    <row r="687" spans="1:28" ht="12.75" customHeight="1" x14ac:dyDescent="0.2">
      <c r="A687" s="6"/>
      <c r="D687" s="6"/>
      <c r="F687" s="6"/>
      <c r="G687" s="6"/>
      <c r="H687" s="6"/>
      <c r="I687" s="6"/>
      <c r="K687" s="6"/>
      <c r="L687" s="6"/>
      <c r="N687" s="6"/>
      <c r="O687" s="6"/>
      <c r="P687" s="6"/>
      <c r="R687" s="6"/>
      <c r="V687" s="7"/>
      <c r="Z687" s="6"/>
      <c r="AA687" s="6"/>
      <c r="AB687" s="5"/>
    </row>
    <row r="688" spans="1:28" ht="12.75" customHeight="1" x14ac:dyDescent="0.2">
      <c r="A688" s="6"/>
      <c r="D688" s="6"/>
      <c r="F688" s="6"/>
      <c r="G688" s="6"/>
      <c r="H688" s="6"/>
      <c r="I688" s="6"/>
      <c r="K688" s="6"/>
      <c r="L688" s="6"/>
      <c r="N688" s="6"/>
      <c r="O688" s="6"/>
      <c r="P688" s="6"/>
      <c r="R688" s="6"/>
      <c r="V688" s="7"/>
      <c r="Z688" s="6"/>
      <c r="AA688" s="6"/>
      <c r="AB688" s="5"/>
    </row>
    <row r="689" spans="1:28" ht="12.75" customHeight="1" x14ac:dyDescent="0.2">
      <c r="A689" s="6"/>
      <c r="D689" s="6"/>
      <c r="F689" s="6"/>
      <c r="G689" s="6"/>
      <c r="H689" s="6"/>
      <c r="I689" s="6"/>
      <c r="K689" s="6"/>
      <c r="L689" s="6"/>
      <c r="N689" s="6"/>
      <c r="O689" s="6"/>
      <c r="P689" s="6"/>
      <c r="R689" s="6"/>
      <c r="V689" s="7"/>
      <c r="Z689" s="6"/>
      <c r="AA689" s="6"/>
      <c r="AB689" s="5"/>
    </row>
    <row r="690" spans="1:28" ht="12.75" customHeight="1" x14ac:dyDescent="0.2">
      <c r="A690" s="6"/>
      <c r="D690" s="6"/>
      <c r="F690" s="6"/>
      <c r="G690" s="6"/>
      <c r="H690" s="6"/>
      <c r="I690" s="6"/>
      <c r="K690" s="6"/>
      <c r="L690" s="6"/>
      <c r="N690" s="6"/>
      <c r="O690" s="6"/>
      <c r="P690" s="6"/>
      <c r="R690" s="6"/>
      <c r="V690" s="7"/>
      <c r="Z690" s="6"/>
      <c r="AA690" s="6"/>
      <c r="AB690" s="5"/>
    </row>
    <row r="691" spans="1:28" ht="12.75" customHeight="1" x14ac:dyDescent="0.2">
      <c r="A691" s="6"/>
      <c r="D691" s="6"/>
      <c r="F691" s="6"/>
      <c r="G691" s="6"/>
      <c r="H691" s="6"/>
      <c r="I691" s="6"/>
      <c r="K691" s="6"/>
      <c r="L691" s="6"/>
      <c r="N691" s="6"/>
      <c r="O691" s="6"/>
      <c r="P691" s="6"/>
      <c r="R691" s="6"/>
      <c r="V691" s="7"/>
      <c r="Z691" s="6"/>
      <c r="AA691" s="6"/>
      <c r="AB691" s="5"/>
    </row>
    <row r="692" spans="1:28" ht="12.75" customHeight="1" x14ac:dyDescent="0.2">
      <c r="A692" s="6"/>
      <c r="D692" s="6"/>
      <c r="F692" s="6"/>
      <c r="G692" s="6"/>
      <c r="H692" s="6"/>
      <c r="I692" s="6"/>
      <c r="K692" s="6"/>
      <c r="L692" s="6"/>
      <c r="N692" s="6"/>
      <c r="O692" s="6"/>
      <c r="P692" s="6"/>
      <c r="R692" s="6"/>
      <c r="V692" s="7"/>
      <c r="Z692" s="6"/>
      <c r="AA692" s="6"/>
      <c r="AB692" s="5"/>
    </row>
    <row r="693" spans="1:28" ht="12.75" customHeight="1" x14ac:dyDescent="0.2">
      <c r="A693" s="6"/>
      <c r="D693" s="6"/>
      <c r="F693" s="6"/>
      <c r="G693" s="6"/>
      <c r="H693" s="6"/>
      <c r="I693" s="6"/>
      <c r="K693" s="6"/>
      <c r="L693" s="6"/>
      <c r="N693" s="6"/>
      <c r="O693" s="6"/>
      <c r="P693" s="6"/>
      <c r="R693" s="6"/>
      <c r="V693" s="7"/>
      <c r="Z693" s="6"/>
      <c r="AA693" s="6"/>
      <c r="AB693" s="5"/>
    </row>
    <row r="694" spans="1:28" ht="12.75" customHeight="1" x14ac:dyDescent="0.2">
      <c r="A694" s="6"/>
      <c r="D694" s="6"/>
      <c r="F694" s="6"/>
      <c r="G694" s="6"/>
      <c r="H694" s="6"/>
      <c r="I694" s="6"/>
      <c r="K694" s="6"/>
      <c r="L694" s="6"/>
      <c r="N694" s="6"/>
      <c r="O694" s="6"/>
      <c r="P694" s="6"/>
      <c r="R694" s="6"/>
      <c r="V694" s="7"/>
      <c r="Z694" s="6"/>
      <c r="AA694" s="6"/>
      <c r="AB694" s="5"/>
    </row>
    <row r="695" spans="1:28" ht="12.75" customHeight="1" x14ac:dyDescent="0.2">
      <c r="A695" s="6"/>
      <c r="D695" s="6"/>
      <c r="F695" s="6"/>
      <c r="G695" s="6"/>
      <c r="H695" s="6"/>
      <c r="I695" s="6"/>
      <c r="K695" s="6"/>
      <c r="L695" s="6"/>
      <c r="N695" s="6"/>
      <c r="O695" s="6"/>
      <c r="P695" s="6"/>
      <c r="R695" s="6"/>
      <c r="V695" s="7"/>
      <c r="Z695" s="6"/>
      <c r="AA695" s="6"/>
      <c r="AB695" s="5"/>
    </row>
    <row r="696" spans="1:28" ht="12.75" customHeight="1" x14ac:dyDescent="0.2">
      <c r="A696" s="6"/>
      <c r="D696" s="6"/>
      <c r="F696" s="6"/>
      <c r="G696" s="6"/>
      <c r="H696" s="6"/>
      <c r="I696" s="6"/>
      <c r="K696" s="6"/>
      <c r="L696" s="6"/>
      <c r="N696" s="6"/>
      <c r="O696" s="6"/>
      <c r="P696" s="6"/>
      <c r="R696" s="6"/>
      <c r="V696" s="7"/>
      <c r="Z696" s="6"/>
      <c r="AA696" s="6"/>
      <c r="AB696" s="5"/>
    </row>
    <row r="697" spans="1:28" ht="12.75" customHeight="1" x14ac:dyDescent="0.2">
      <c r="A697" s="6"/>
      <c r="D697" s="6"/>
      <c r="F697" s="6"/>
      <c r="G697" s="6"/>
      <c r="H697" s="6"/>
      <c r="I697" s="6"/>
      <c r="K697" s="6"/>
      <c r="L697" s="6"/>
      <c r="N697" s="6"/>
      <c r="O697" s="6"/>
      <c r="P697" s="6"/>
      <c r="R697" s="6"/>
      <c r="V697" s="7"/>
      <c r="Z697" s="6"/>
      <c r="AA697" s="6"/>
      <c r="AB697" s="5"/>
    </row>
    <row r="698" spans="1:28" ht="12.75" customHeight="1" x14ac:dyDescent="0.2">
      <c r="A698" s="6"/>
      <c r="D698" s="6"/>
      <c r="F698" s="6"/>
      <c r="G698" s="6"/>
      <c r="H698" s="6"/>
      <c r="I698" s="6"/>
      <c r="K698" s="6"/>
      <c r="L698" s="6"/>
      <c r="N698" s="6"/>
      <c r="O698" s="6"/>
      <c r="P698" s="6"/>
      <c r="R698" s="6"/>
      <c r="V698" s="7"/>
      <c r="Z698" s="6"/>
      <c r="AA698" s="6"/>
      <c r="AB698" s="5"/>
    </row>
    <row r="699" spans="1:28" ht="12.75" customHeight="1" x14ac:dyDescent="0.2">
      <c r="A699" s="6"/>
      <c r="D699" s="6"/>
      <c r="F699" s="6"/>
      <c r="G699" s="6"/>
      <c r="H699" s="6"/>
      <c r="I699" s="6"/>
      <c r="K699" s="6"/>
      <c r="L699" s="6"/>
      <c r="N699" s="6"/>
      <c r="O699" s="6"/>
      <c r="P699" s="6"/>
      <c r="R699" s="6"/>
      <c r="V699" s="7"/>
      <c r="Z699" s="6"/>
      <c r="AA699" s="6"/>
      <c r="AB699" s="5"/>
    </row>
    <row r="700" spans="1:28" ht="12.75" customHeight="1" x14ac:dyDescent="0.2">
      <c r="A700" s="6"/>
      <c r="D700" s="6"/>
      <c r="F700" s="6"/>
      <c r="G700" s="6"/>
      <c r="H700" s="6"/>
      <c r="I700" s="6"/>
      <c r="K700" s="6"/>
      <c r="L700" s="6"/>
      <c r="N700" s="6"/>
      <c r="O700" s="6"/>
      <c r="P700" s="6"/>
      <c r="R700" s="6"/>
      <c r="V700" s="7"/>
      <c r="Z700" s="6"/>
      <c r="AA700" s="6"/>
      <c r="AB700" s="5"/>
    </row>
    <row r="701" spans="1:28" ht="12.75" customHeight="1" x14ac:dyDescent="0.2">
      <c r="A701" s="6"/>
      <c r="D701" s="6"/>
      <c r="F701" s="6"/>
      <c r="G701" s="6"/>
      <c r="H701" s="6"/>
      <c r="I701" s="6"/>
      <c r="K701" s="6"/>
      <c r="L701" s="6"/>
      <c r="N701" s="6"/>
      <c r="O701" s="6"/>
      <c r="P701" s="6"/>
      <c r="R701" s="6"/>
      <c r="V701" s="7"/>
      <c r="Z701" s="6"/>
      <c r="AA701" s="6"/>
      <c r="AB701" s="5"/>
    </row>
    <row r="702" spans="1:28" ht="12.75" customHeight="1" x14ac:dyDescent="0.2">
      <c r="A702" s="6"/>
      <c r="D702" s="6"/>
      <c r="F702" s="6"/>
      <c r="G702" s="6"/>
      <c r="H702" s="6"/>
      <c r="I702" s="6"/>
      <c r="K702" s="6"/>
      <c r="L702" s="6"/>
      <c r="N702" s="6"/>
      <c r="O702" s="6"/>
      <c r="P702" s="6"/>
      <c r="R702" s="6"/>
      <c r="V702" s="7"/>
      <c r="Z702" s="6"/>
      <c r="AA702" s="6"/>
      <c r="AB702" s="5"/>
    </row>
    <row r="703" spans="1:28" ht="12.75" customHeight="1" x14ac:dyDescent="0.2">
      <c r="A703" s="6"/>
      <c r="D703" s="6"/>
      <c r="F703" s="6"/>
      <c r="G703" s="6"/>
      <c r="H703" s="6"/>
      <c r="I703" s="6"/>
      <c r="K703" s="6"/>
      <c r="L703" s="6"/>
      <c r="N703" s="6"/>
      <c r="O703" s="6"/>
      <c r="P703" s="6"/>
      <c r="R703" s="6"/>
      <c r="V703" s="7"/>
      <c r="Z703" s="6"/>
      <c r="AA703" s="6"/>
      <c r="AB703" s="5"/>
    </row>
    <row r="704" spans="1:28" ht="12.75" customHeight="1" x14ac:dyDescent="0.2">
      <c r="A704" s="6"/>
      <c r="D704" s="6"/>
      <c r="F704" s="6"/>
      <c r="G704" s="6"/>
      <c r="H704" s="6"/>
      <c r="I704" s="6"/>
      <c r="K704" s="6"/>
      <c r="L704" s="6"/>
      <c r="N704" s="6"/>
      <c r="O704" s="6"/>
      <c r="P704" s="6"/>
      <c r="R704" s="6"/>
      <c r="V704" s="7"/>
      <c r="Z704" s="6"/>
      <c r="AA704" s="6"/>
      <c r="AB704" s="5"/>
    </row>
    <row r="705" spans="1:28" ht="12.75" customHeight="1" x14ac:dyDescent="0.2">
      <c r="A705" s="6"/>
      <c r="D705" s="6"/>
      <c r="F705" s="6"/>
      <c r="G705" s="6"/>
      <c r="H705" s="6"/>
      <c r="I705" s="6"/>
      <c r="K705" s="6"/>
      <c r="L705" s="6"/>
      <c r="N705" s="6"/>
      <c r="O705" s="6"/>
      <c r="P705" s="6"/>
      <c r="R705" s="6"/>
      <c r="V705" s="7"/>
      <c r="Z705" s="6"/>
      <c r="AA705" s="6"/>
      <c r="AB705" s="5"/>
    </row>
    <row r="706" spans="1:28" ht="12.75" customHeight="1" x14ac:dyDescent="0.2">
      <c r="A706" s="6"/>
      <c r="D706" s="6"/>
      <c r="F706" s="6"/>
      <c r="G706" s="6"/>
      <c r="H706" s="6"/>
      <c r="I706" s="6"/>
      <c r="K706" s="6"/>
      <c r="L706" s="6"/>
      <c r="N706" s="6"/>
      <c r="O706" s="6"/>
      <c r="P706" s="6"/>
      <c r="R706" s="6"/>
      <c r="V706" s="7"/>
      <c r="Z706" s="6"/>
      <c r="AA706" s="6"/>
      <c r="AB706" s="5"/>
    </row>
    <row r="707" spans="1:28" ht="12.75" customHeight="1" x14ac:dyDescent="0.2">
      <c r="A707" s="6"/>
      <c r="D707" s="6"/>
      <c r="F707" s="6"/>
      <c r="G707" s="6"/>
      <c r="H707" s="6"/>
      <c r="I707" s="6"/>
      <c r="K707" s="6"/>
      <c r="L707" s="6"/>
      <c r="N707" s="6"/>
      <c r="O707" s="6"/>
      <c r="P707" s="6"/>
      <c r="R707" s="6"/>
      <c r="V707" s="7"/>
      <c r="Z707" s="6"/>
      <c r="AA707" s="6"/>
      <c r="AB707" s="5"/>
    </row>
    <row r="708" spans="1:28" ht="12.75" customHeight="1" x14ac:dyDescent="0.2">
      <c r="A708" s="6"/>
      <c r="D708" s="6"/>
      <c r="F708" s="6"/>
      <c r="G708" s="6"/>
      <c r="H708" s="6"/>
      <c r="I708" s="6"/>
      <c r="K708" s="6"/>
      <c r="L708" s="6"/>
      <c r="N708" s="6"/>
      <c r="O708" s="6"/>
      <c r="P708" s="6"/>
      <c r="R708" s="6"/>
      <c r="V708" s="7"/>
      <c r="Z708" s="6"/>
      <c r="AA708" s="6"/>
      <c r="AB708" s="5"/>
    </row>
    <row r="709" spans="1:28" ht="12.75" customHeight="1" x14ac:dyDescent="0.2">
      <c r="A709" s="6"/>
      <c r="D709" s="6"/>
      <c r="F709" s="6"/>
      <c r="G709" s="6"/>
      <c r="H709" s="6"/>
      <c r="I709" s="6"/>
      <c r="K709" s="6"/>
      <c r="L709" s="6"/>
      <c r="N709" s="6"/>
      <c r="O709" s="6"/>
      <c r="P709" s="6"/>
      <c r="R709" s="6"/>
      <c r="V709" s="7"/>
      <c r="Z709" s="6"/>
      <c r="AA709" s="6"/>
      <c r="AB709" s="5"/>
    </row>
    <row r="710" spans="1:28" ht="12.75" customHeight="1" x14ac:dyDescent="0.2">
      <c r="A710" s="6"/>
      <c r="D710" s="6"/>
      <c r="F710" s="6"/>
      <c r="G710" s="6"/>
      <c r="H710" s="6"/>
      <c r="I710" s="6"/>
      <c r="K710" s="6"/>
      <c r="L710" s="6"/>
      <c r="N710" s="6"/>
      <c r="O710" s="6"/>
      <c r="P710" s="6"/>
      <c r="R710" s="6"/>
      <c r="V710" s="7"/>
      <c r="Z710" s="6"/>
      <c r="AA710" s="6"/>
      <c r="AB710" s="5"/>
    </row>
    <row r="711" spans="1:28" ht="12.75" customHeight="1" x14ac:dyDescent="0.2">
      <c r="A711" s="6"/>
      <c r="D711" s="6"/>
      <c r="F711" s="6"/>
      <c r="G711" s="6"/>
      <c r="H711" s="6"/>
      <c r="I711" s="6"/>
      <c r="K711" s="6"/>
      <c r="L711" s="6"/>
      <c r="N711" s="6"/>
      <c r="O711" s="6"/>
      <c r="P711" s="6"/>
      <c r="R711" s="6"/>
      <c r="V711" s="7"/>
      <c r="Z711" s="6"/>
      <c r="AA711" s="6"/>
      <c r="AB711" s="5"/>
    </row>
    <row r="712" spans="1:28" ht="12.75" customHeight="1" x14ac:dyDescent="0.2">
      <c r="A712" s="6"/>
      <c r="D712" s="6"/>
      <c r="F712" s="6"/>
      <c r="G712" s="6"/>
      <c r="H712" s="6"/>
      <c r="I712" s="6"/>
      <c r="K712" s="6"/>
      <c r="L712" s="6"/>
      <c r="N712" s="6"/>
      <c r="O712" s="6"/>
      <c r="P712" s="6"/>
      <c r="R712" s="6"/>
      <c r="V712" s="7"/>
      <c r="Z712" s="6"/>
      <c r="AA712" s="6"/>
      <c r="AB712" s="5"/>
    </row>
    <row r="713" spans="1:28" ht="12.75" customHeight="1" x14ac:dyDescent="0.2">
      <c r="A713" s="6"/>
      <c r="D713" s="6"/>
      <c r="F713" s="6"/>
      <c r="G713" s="6"/>
      <c r="H713" s="6"/>
      <c r="I713" s="6"/>
      <c r="K713" s="6"/>
      <c r="L713" s="6"/>
      <c r="N713" s="6"/>
      <c r="O713" s="6"/>
      <c r="P713" s="6"/>
      <c r="R713" s="6"/>
      <c r="V713" s="7"/>
      <c r="Z713" s="6"/>
      <c r="AA713" s="6"/>
      <c r="AB713" s="5"/>
    </row>
    <row r="714" spans="1:28" ht="12.75" customHeight="1" x14ac:dyDescent="0.2">
      <c r="A714" s="6"/>
      <c r="D714" s="6"/>
      <c r="F714" s="6"/>
      <c r="G714" s="6"/>
      <c r="H714" s="6"/>
      <c r="I714" s="6"/>
      <c r="K714" s="6"/>
      <c r="L714" s="6"/>
      <c r="N714" s="6"/>
      <c r="O714" s="6"/>
      <c r="P714" s="6"/>
      <c r="R714" s="6"/>
      <c r="V714" s="7"/>
      <c r="Z714" s="6"/>
      <c r="AA714" s="6"/>
      <c r="AB714" s="5"/>
    </row>
    <row r="715" spans="1:28" ht="12.75" customHeight="1" x14ac:dyDescent="0.2">
      <c r="A715" s="6"/>
      <c r="D715" s="6"/>
      <c r="F715" s="6"/>
      <c r="G715" s="6"/>
      <c r="H715" s="6"/>
      <c r="I715" s="6"/>
      <c r="K715" s="6"/>
      <c r="L715" s="6"/>
      <c r="N715" s="6"/>
      <c r="O715" s="6"/>
      <c r="P715" s="6"/>
      <c r="R715" s="6"/>
      <c r="V715" s="7"/>
      <c r="Z715" s="6"/>
      <c r="AA715" s="6"/>
      <c r="AB715" s="5"/>
    </row>
    <row r="716" spans="1:28" ht="12.75" customHeight="1" x14ac:dyDescent="0.2">
      <c r="A716" s="6"/>
      <c r="D716" s="6"/>
      <c r="F716" s="6"/>
      <c r="G716" s="6"/>
      <c r="H716" s="6"/>
      <c r="I716" s="6"/>
      <c r="K716" s="6"/>
      <c r="L716" s="6"/>
      <c r="N716" s="6"/>
      <c r="O716" s="6"/>
      <c r="P716" s="6"/>
      <c r="R716" s="6"/>
      <c r="V716" s="7"/>
      <c r="Z716" s="6"/>
      <c r="AA716" s="6"/>
      <c r="AB716" s="5"/>
    </row>
    <row r="717" spans="1:28" ht="12.75" customHeight="1" x14ac:dyDescent="0.2">
      <c r="A717" s="6"/>
      <c r="D717" s="6"/>
      <c r="F717" s="6"/>
      <c r="G717" s="6"/>
      <c r="H717" s="6"/>
      <c r="I717" s="6"/>
      <c r="K717" s="6"/>
      <c r="L717" s="6"/>
      <c r="N717" s="6"/>
      <c r="O717" s="6"/>
      <c r="P717" s="6"/>
      <c r="R717" s="6"/>
      <c r="V717" s="7"/>
      <c r="Z717" s="6"/>
      <c r="AA717" s="6"/>
      <c r="AB717" s="5"/>
    </row>
    <row r="718" spans="1:28" ht="12.75" customHeight="1" x14ac:dyDescent="0.2">
      <c r="A718" s="6"/>
      <c r="D718" s="6"/>
      <c r="F718" s="6"/>
      <c r="G718" s="6"/>
      <c r="H718" s="6"/>
      <c r="I718" s="6"/>
      <c r="K718" s="6"/>
      <c r="L718" s="6"/>
      <c r="N718" s="6"/>
      <c r="O718" s="6"/>
      <c r="P718" s="6"/>
      <c r="R718" s="6"/>
      <c r="V718" s="7"/>
      <c r="Z718" s="6"/>
      <c r="AA718" s="6"/>
      <c r="AB718" s="5"/>
    </row>
    <row r="719" spans="1:28" ht="12.75" customHeight="1" x14ac:dyDescent="0.2">
      <c r="A719" s="6"/>
      <c r="D719" s="6"/>
      <c r="F719" s="6"/>
      <c r="G719" s="6"/>
      <c r="H719" s="6"/>
      <c r="I719" s="6"/>
      <c r="K719" s="6"/>
      <c r="L719" s="6"/>
      <c r="N719" s="6"/>
      <c r="O719" s="6"/>
      <c r="P719" s="6"/>
      <c r="R719" s="6"/>
      <c r="V719" s="7"/>
      <c r="Z719" s="6"/>
      <c r="AA719" s="6"/>
      <c r="AB719" s="5"/>
    </row>
    <row r="720" spans="1:28" ht="12.75" customHeight="1" x14ac:dyDescent="0.2">
      <c r="A720" s="6"/>
      <c r="D720" s="6"/>
      <c r="F720" s="6"/>
      <c r="G720" s="6"/>
      <c r="H720" s="6"/>
      <c r="I720" s="6"/>
      <c r="K720" s="6"/>
      <c r="L720" s="6"/>
      <c r="N720" s="6"/>
      <c r="O720" s="6"/>
      <c r="P720" s="6"/>
      <c r="R720" s="6"/>
      <c r="V720" s="7"/>
      <c r="Z720" s="6"/>
      <c r="AA720" s="6"/>
      <c r="AB720" s="5"/>
    </row>
    <row r="721" spans="1:28" ht="12.75" customHeight="1" x14ac:dyDescent="0.2">
      <c r="A721" s="6"/>
      <c r="D721" s="6"/>
      <c r="F721" s="6"/>
      <c r="G721" s="6"/>
      <c r="H721" s="6"/>
      <c r="I721" s="6"/>
      <c r="K721" s="6"/>
      <c r="L721" s="6"/>
      <c r="N721" s="6"/>
      <c r="O721" s="6"/>
      <c r="P721" s="6"/>
      <c r="R721" s="6"/>
      <c r="V721" s="7"/>
      <c r="Z721" s="6"/>
      <c r="AA721" s="6"/>
      <c r="AB721" s="5"/>
    </row>
    <row r="722" spans="1:28" ht="12.75" customHeight="1" x14ac:dyDescent="0.2">
      <c r="A722" s="6"/>
      <c r="D722" s="6"/>
      <c r="F722" s="6"/>
      <c r="G722" s="6"/>
      <c r="H722" s="6"/>
      <c r="I722" s="6"/>
      <c r="K722" s="6"/>
      <c r="L722" s="6"/>
      <c r="N722" s="6"/>
      <c r="O722" s="6"/>
      <c r="P722" s="6"/>
      <c r="R722" s="6"/>
      <c r="V722" s="7"/>
      <c r="Z722" s="6"/>
      <c r="AA722" s="6"/>
      <c r="AB722" s="5"/>
    </row>
    <row r="723" spans="1:28" ht="12.75" customHeight="1" x14ac:dyDescent="0.2">
      <c r="A723" s="6"/>
      <c r="D723" s="6"/>
      <c r="F723" s="6"/>
      <c r="G723" s="6"/>
      <c r="H723" s="6"/>
      <c r="I723" s="6"/>
      <c r="K723" s="6"/>
      <c r="L723" s="6"/>
      <c r="N723" s="6"/>
      <c r="O723" s="6"/>
      <c r="P723" s="6"/>
      <c r="R723" s="6"/>
      <c r="V723" s="7"/>
      <c r="Z723" s="6"/>
      <c r="AA723" s="6"/>
      <c r="AB723" s="5"/>
    </row>
    <row r="724" spans="1:28" ht="12.75" customHeight="1" x14ac:dyDescent="0.2">
      <c r="A724" s="6"/>
      <c r="D724" s="6"/>
      <c r="F724" s="6"/>
      <c r="G724" s="6"/>
      <c r="H724" s="6"/>
      <c r="I724" s="6"/>
      <c r="K724" s="6"/>
      <c r="L724" s="6"/>
      <c r="N724" s="6"/>
      <c r="O724" s="6"/>
      <c r="P724" s="6"/>
      <c r="R724" s="6"/>
      <c r="V724" s="7"/>
      <c r="Z724" s="6"/>
      <c r="AA724" s="6"/>
      <c r="AB724" s="5"/>
    </row>
    <row r="725" spans="1:28" ht="12.75" customHeight="1" x14ac:dyDescent="0.2">
      <c r="A725" s="6"/>
      <c r="D725" s="6"/>
      <c r="F725" s="6"/>
      <c r="G725" s="6"/>
      <c r="H725" s="6"/>
      <c r="I725" s="6"/>
      <c r="K725" s="6"/>
      <c r="L725" s="6"/>
      <c r="N725" s="6"/>
      <c r="O725" s="6"/>
      <c r="P725" s="6"/>
      <c r="R725" s="6"/>
      <c r="V725" s="7"/>
      <c r="Z725" s="6"/>
      <c r="AA725" s="6"/>
      <c r="AB725" s="5"/>
    </row>
    <row r="726" spans="1:28" ht="12.75" customHeight="1" x14ac:dyDescent="0.2">
      <c r="A726" s="6"/>
      <c r="D726" s="6"/>
      <c r="F726" s="6"/>
      <c r="G726" s="6"/>
      <c r="H726" s="6"/>
      <c r="I726" s="6"/>
      <c r="K726" s="6"/>
      <c r="L726" s="6"/>
      <c r="N726" s="6"/>
      <c r="O726" s="6"/>
      <c r="P726" s="6"/>
      <c r="R726" s="6"/>
      <c r="V726" s="7"/>
      <c r="Z726" s="6"/>
      <c r="AA726" s="6"/>
      <c r="AB726" s="5"/>
    </row>
    <row r="727" spans="1:28" ht="12.75" customHeight="1" x14ac:dyDescent="0.2">
      <c r="A727" s="6"/>
      <c r="D727" s="6"/>
      <c r="F727" s="6"/>
      <c r="G727" s="6"/>
      <c r="H727" s="6"/>
      <c r="I727" s="6"/>
      <c r="K727" s="6"/>
      <c r="L727" s="6"/>
      <c r="N727" s="6"/>
      <c r="O727" s="6"/>
      <c r="P727" s="6"/>
      <c r="R727" s="6"/>
      <c r="V727" s="7"/>
      <c r="Z727" s="6"/>
      <c r="AA727" s="6"/>
      <c r="AB727" s="5"/>
    </row>
    <row r="728" spans="1:28" ht="12.75" customHeight="1" x14ac:dyDescent="0.2">
      <c r="A728" s="6"/>
      <c r="D728" s="6"/>
      <c r="F728" s="6"/>
      <c r="G728" s="6"/>
      <c r="H728" s="6"/>
      <c r="I728" s="6"/>
      <c r="K728" s="6"/>
      <c r="L728" s="6"/>
      <c r="N728" s="6"/>
      <c r="O728" s="6"/>
      <c r="P728" s="6"/>
      <c r="R728" s="6"/>
      <c r="V728" s="7"/>
      <c r="Z728" s="6"/>
      <c r="AA728" s="6"/>
      <c r="AB728" s="5"/>
    </row>
    <row r="729" spans="1:28" ht="12.75" customHeight="1" x14ac:dyDescent="0.2">
      <c r="A729" s="6"/>
      <c r="D729" s="6"/>
      <c r="F729" s="6"/>
      <c r="G729" s="6"/>
      <c r="H729" s="6"/>
      <c r="I729" s="6"/>
      <c r="K729" s="6"/>
      <c r="L729" s="6"/>
      <c r="N729" s="6"/>
      <c r="O729" s="6"/>
      <c r="P729" s="6"/>
      <c r="R729" s="6"/>
      <c r="V729" s="7"/>
      <c r="Z729" s="6"/>
      <c r="AA729" s="6"/>
      <c r="AB729" s="5"/>
    </row>
    <row r="730" spans="1:28" ht="12.75" customHeight="1" x14ac:dyDescent="0.2">
      <c r="A730" s="6"/>
      <c r="D730" s="6"/>
      <c r="F730" s="6"/>
      <c r="G730" s="6"/>
      <c r="H730" s="6"/>
      <c r="I730" s="6"/>
      <c r="K730" s="6"/>
      <c r="L730" s="6"/>
      <c r="N730" s="6"/>
      <c r="O730" s="6"/>
      <c r="P730" s="6"/>
      <c r="R730" s="6"/>
      <c r="V730" s="7"/>
      <c r="Z730" s="6"/>
      <c r="AA730" s="6"/>
      <c r="AB730" s="5"/>
    </row>
    <row r="731" spans="1:28" ht="12.75" customHeight="1" x14ac:dyDescent="0.2">
      <c r="A731" s="6"/>
      <c r="D731" s="6"/>
      <c r="F731" s="6"/>
      <c r="G731" s="6"/>
      <c r="H731" s="6"/>
      <c r="I731" s="6"/>
      <c r="K731" s="6"/>
      <c r="L731" s="6"/>
      <c r="N731" s="6"/>
      <c r="O731" s="6"/>
      <c r="P731" s="6"/>
      <c r="R731" s="6"/>
      <c r="V731" s="7"/>
      <c r="Z731" s="6"/>
      <c r="AA731" s="6"/>
      <c r="AB731" s="5"/>
    </row>
    <row r="732" spans="1:28" ht="12.75" customHeight="1" x14ac:dyDescent="0.2">
      <c r="A732" s="6"/>
      <c r="D732" s="6"/>
      <c r="F732" s="6"/>
      <c r="G732" s="6"/>
      <c r="H732" s="6"/>
      <c r="I732" s="6"/>
      <c r="K732" s="6"/>
      <c r="L732" s="6"/>
      <c r="N732" s="6"/>
      <c r="O732" s="6"/>
      <c r="P732" s="6"/>
      <c r="R732" s="6"/>
      <c r="V732" s="7"/>
      <c r="Z732" s="6"/>
      <c r="AA732" s="6"/>
      <c r="AB732" s="5"/>
    </row>
    <row r="733" spans="1:28" ht="12.75" customHeight="1" x14ac:dyDescent="0.2">
      <c r="A733" s="6"/>
      <c r="D733" s="6"/>
      <c r="F733" s="6"/>
      <c r="G733" s="6"/>
      <c r="H733" s="6"/>
      <c r="I733" s="6"/>
      <c r="K733" s="6"/>
      <c r="L733" s="6"/>
      <c r="N733" s="6"/>
      <c r="O733" s="6"/>
      <c r="P733" s="6"/>
      <c r="R733" s="6"/>
      <c r="V733" s="7"/>
      <c r="Z733" s="6"/>
      <c r="AA733" s="6"/>
      <c r="AB733" s="5"/>
    </row>
    <row r="734" spans="1:28" ht="12.75" customHeight="1" x14ac:dyDescent="0.2">
      <c r="A734" s="6"/>
      <c r="D734" s="6"/>
      <c r="F734" s="6"/>
      <c r="G734" s="6"/>
      <c r="H734" s="6"/>
      <c r="I734" s="6"/>
      <c r="K734" s="6"/>
      <c r="L734" s="6"/>
      <c r="N734" s="6"/>
      <c r="O734" s="6"/>
      <c r="P734" s="6"/>
      <c r="R734" s="6"/>
      <c r="V734" s="7"/>
      <c r="Z734" s="6"/>
      <c r="AA734" s="6"/>
      <c r="AB734" s="5"/>
    </row>
    <row r="735" spans="1:28" ht="12.75" customHeight="1" x14ac:dyDescent="0.2">
      <c r="A735" s="6"/>
      <c r="D735" s="6"/>
      <c r="F735" s="6"/>
      <c r="G735" s="6"/>
      <c r="H735" s="6"/>
      <c r="I735" s="6"/>
      <c r="K735" s="6"/>
      <c r="L735" s="6"/>
      <c r="N735" s="6"/>
      <c r="O735" s="6"/>
      <c r="P735" s="6"/>
      <c r="R735" s="6"/>
      <c r="V735" s="7"/>
      <c r="Z735" s="6"/>
      <c r="AA735" s="6"/>
      <c r="AB735" s="5"/>
    </row>
    <row r="736" spans="1:28" ht="12.75" customHeight="1" x14ac:dyDescent="0.2">
      <c r="A736" s="6"/>
      <c r="D736" s="6"/>
      <c r="F736" s="6"/>
      <c r="G736" s="6"/>
      <c r="H736" s="6"/>
      <c r="I736" s="6"/>
      <c r="K736" s="6"/>
      <c r="L736" s="6"/>
      <c r="N736" s="6"/>
      <c r="O736" s="6"/>
      <c r="P736" s="6"/>
      <c r="R736" s="6"/>
      <c r="V736" s="7"/>
      <c r="Z736" s="6"/>
      <c r="AA736" s="6"/>
      <c r="AB736" s="5"/>
    </row>
    <row r="737" spans="1:28" ht="12.75" customHeight="1" x14ac:dyDescent="0.2">
      <c r="A737" s="6"/>
      <c r="D737" s="6"/>
      <c r="F737" s="6"/>
      <c r="G737" s="6"/>
      <c r="H737" s="6"/>
      <c r="I737" s="6"/>
      <c r="K737" s="6"/>
      <c r="L737" s="6"/>
      <c r="N737" s="6"/>
      <c r="O737" s="6"/>
      <c r="P737" s="6"/>
      <c r="R737" s="6"/>
      <c r="V737" s="7"/>
      <c r="Z737" s="6"/>
      <c r="AA737" s="6"/>
      <c r="AB737" s="5"/>
    </row>
    <row r="738" spans="1:28" ht="12.75" customHeight="1" x14ac:dyDescent="0.2">
      <c r="A738" s="6"/>
      <c r="D738" s="6"/>
      <c r="F738" s="6"/>
      <c r="G738" s="6"/>
      <c r="H738" s="6"/>
      <c r="I738" s="6"/>
      <c r="K738" s="6"/>
      <c r="L738" s="6"/>
      <c r="N738" s="6"/>
      <c r="O738" s="6"/>
      <c r="P738" s="6"/>
      <c r="R738" s="6"/>
      <c r="V738" s="7"/>
      <c r="Z738" s="6"/>
      <c r="AA738" s="6"/>
      <c r="AB738" s="5"/>
    </row>
    <row r="739" spans="1:28" ht="12.75" customHeight="1" x14ac:dyDescent="0.2">
      <c r="A739" s="6"/>
      <c r="D739" s="6"/>
      <c r="F739" s="6"/>
      <c r="G739" s="6"/>
      <c r="H739" s="6"/>
      <c r="I739" s="6"/>
      <c r="K739" s="6"/>
      <c r="L739" s="6"/>
      <c r="N739" s="6"/>
      <c r="O739" s="6"/>
      <c r="P739" s="6"/>
      <c r="R739" s="6"/>
      <c r="V739" s="7"/>
      <c r="Z739" s="6"/>
      <c r="AA739" s="6"/>
      <c r="AB739" s="5"/>
    </row>
    <row r="740" spans="1:28" ht="12.75" customHeight="1" x14ac:dyDescent="0.2">
      <c r="A740" s="6"/>
      <c r="D740" s="6"/>
      <c r="F740" s="6"/>
      <c r="G740" s="6"/>
      <c r="H740" s="6"/>
      <c r="I740" s="6"/>
      <c r="K740" s="6"/>
      <c r="L740" s="6"/>
      <c r="N740" s="6"/>
      <c r="O740" s="6"/>
      <c r="P740" s="6"/>
      <c r="R740" s="6"/>
      <c r="V740" s="7"/>
      <c r="Z740" s="6"/>
      <c r="AA740" s="6"/>
      <c r="AB740" s="5"/>
    </row>
    <row r="741" spans="1:28" ht="12.75" customHeight="1" x14ac:dyDescent="0.2">
      <c r="A741" s="6"/>
      <c r="D741" s="6"/>
      <c r="F741" s="6"/>
      <c r="G741" s="6"/>
      <c r="H741" s="6"/>
      <c r="I741" s="6"/>
      <c r="K741" s="6"/>
      <c r="L741" s="6"/>
      <c r="N741" s="6"/>
      <c r="O741" s="6"/>
      <c r="P741" s="6"/>
      <c r="R741" s="6"/>
      <c r="V741" s="7"/>
      <c r="Z741" s="6"/>
      <c r="AA741" s="6"/>
      <c r="AB741" s="5"/>
    </row>
    <row r="742" spans="1:28" ht="12.75" customHeight="1" x14ac:dyDescent="0.2">
      <c r="A742" s="6"/>
      <c r="D742" s="6"/>
      <c r="F742" s="6"/>
      <c r="G742" s="6"/>
      <c r="H742" s="6"/>
      <c r="I742" s="6"/>
      <c r="K742" s="6"/>
      <c r="L742" s="6"/>
      <c r="N742" s="6"/>
      <c r="O742" s="6"/>
      <c r="P742" s="6"/>
      <c r="R742" s="6"/>
      <c r="V742" s="7"/>
      <c r="Z742" s="6"/>
      <c r="AA742" s="6"/>
      <c r="AB742" s="5"/>
    </row>
    <row r="743" spans="1:28" ht="12.75" customHeight="1" x14ac:dyDescent="0.2">
      <c r="A743" s="6"/>
      <c r="D743" s="6"/>
      <c r="F743" s="6"/>
      <c r="G743" s="6"/>
      <c r="H743" s="6"/>
      <c r="I743" s="6"/>
      <c r="K743" s="6"/>
      <c r="L743" s="6"/>
      <c r="N743" s="6"/>
      <c r="O743" s="6"/>
      <c r="P743" s="6"/>
      <c r="R743" s="6"/>
      <c r="V743" s="7"/>
      <c r="Z743" s="6"/>
      <c r="AA743" s="6"/>
      <c r="AB743" s="5"/>
    </row>
    <row r="744" spans="1:28" ht="12.75" customHeight="1" x14ac:dyDescent="0.2">
      <c r="A744" s="6"/>
      <c r="D744" s="6"/>
      <c r="F744" s="6"/>
      <c r="G744" s="6"/>
      <c r="H744" s="6"/>
      <c r="I744" s="6"/>
      <c r="K744" s="6"/>
      <c r="L744" s="6"/>
      <c r="N744" s="6"/>
      <c r="O744" s="6"/>
      <c r="P744" s="6"/>
      <c r="R744" s="6"/>
      <c r="V744" s="7"/>
      <c r="Z744" s="6"/>
      <c r="AA744" s="6"/>
      <c r="AB744" s="5"/>
    </row>
    <row r="745" spans="1:28" ht="12.75" customHeight="1" x14ac:dyDescent="0.2">
      <c r="A745" s="6"/>
      <c r="D745" s="6"/>
      <c r="F745" s="6"/>
      <c r="G745" s="6"/>
      <c r="H745" s="6"/>
      <c r="I745" s="6"/>
      <c r="K745" s="6"/>
      <c r="L745" s="6"/>
      <c r="N745" s="6"/>
      <c r="O745" s="6"/>
      <c r="P745" s="6"/>
      <c r="R745" s="6"/>
      <c r="V745" s="7"/>
      <c r="Z745" s="6"/>
      <c r="AA745" s="6"/>
      <c r="AB745" s="5"/>
    </row>
    <row r="746" spans="1:28" ht="12.75" customHeight="1" x14ac:dyDescent="0.2">
      <c r="A746" s="6"/>
      <c r="D746" s="6"/>
      <c r="F746" s="6"/>
      <c r="G746" s="6"/>
      <c r="H746" s="6"/>
      <c r="I746" s="6"/>
      <c r="K746" s="6"/>
      <c r="L746" s="6"/>
      <c r="N746" s="6"/>
      <c r="O746" s="6"/>
      <c r="P746" s="6"/>
      <c r="R746" s="6"/>
      <c r="V746" s="7"/>
      <c r="Z746" s="6"/>
      <c r="AA746" s="6"/>
      <c r="AB746" s="5"/>
    </row>
    <row r="747" spans="1:28" ht="12.75" customHeight="1" x14ac:dyDescent="0.2">
      <c r="A747" s="6"/>
      <c r="D747" s="6"/>
      <c r="F747" s="6"/>
      <c r="G747" s="6"/>
      <c r="H747" s="6"/>
      <c r="I747" s="6"/>
      <c r="K747" s="6"/>
      <c r="L747" s="6"/>
      <c r="N747" s="6"/>
      <c r="O747" s="6"/>
      <c r="P747" s="6"/>
      <c r="R747" s="6"/>
      <c r="V747" s="7"/>
      <c r="Z747" s="6"/>
      <c r="AA747" s="6"/>
      <c r="AB747" s="5"/>
    </row>
    <row r="748" spans="1:28" ht="12.75" customHeight="1" x14ac:dyDescent="0.2">
      <c r="A748" s="6"/>
      <c r="D748" s="6"/>
      <c r="F748" s="6"/>
      <c r="G748" s="6"/>
      <c r="H748" s="6"/>
      <c r="I748" s="6"/>
      <c r="K748" s="6"/>
      <c r="L748" s="6"/>
      <c r="N748" s="6"/>
      <c r="O748" s="6"/>
      <c r="P748" s="6"/>
      <c r="R748" s="6"/>
      <c r="V748" s="7"/>
      <c r="Z748" s="6"/>
      <c r="AA748" s="6"/>
      <c r="AB748" s="5"/>
    </row>
    <row r="749" spans="1:28" ht="12.75" customHeight="1" x14ac:dyDescent="0.2">
      <c r="A749" s="6"/>
      <c r="D749" s="6"/>
      <c r="F749" s="6"/>
      <c r="G749" s="6"/>
      <c r="H749" s="6"/>
      <c r="I749" s="6"/>
      <c r="K749" s="6"/>
      <c r="L749" s="6"/>
      <c r="N749" s="6"/>
      <c r="O749" s="6"/>
      <c r="P749" s="6"/>
      <c r="R749" s="6"/>
      <c r="V749" s="7"/>
      <c r="Z749" s="6"/>
      <c r="AA749" s="6"/>
      <c r="AB749" s="5"/>
    </row>
    <row r="750" spans="1:28" ht="12.75" customHeight="1" x14ac:dyDescent="0.2">
      <c r="A750" s="6"/>
      <c r="D750" s="6"/>
      <c r="F750" s="6"/>
      <c r="G750" s="6"/>
      <c r="H750" s="6"/>
      <c r="I750" s="6"/>
      <c r="K750" s="6"/>
      <c r="L750" s="6"/>
      <c r="N750" s="6"/>
      <c r="O750" s="6"/>
      <c r="P750" s="6"/>
      <c r="R750" s="6"/>
      <c r="V750" s="7"/>
      <c r="Z750" s="6"/>
      <c r="AA750" s="6"/>
      <c r="AB750" s="5"/>
    </row>
    <row r="751" spans="1:28" ht="12.75" customHeight="1" x14ac:dyDescent="0.2">
      <c r="A751" s="6"/>
      <c r="D751" s="6"/>
      <c r="F751" s="6"/>
      <c r="G751" s="6"/>
      <c r="H751" s="6"/>
      <c r="I751" s="6"/>
      <c r="K751" s="6"/>
      <c r="L751" s="6"/>
      <c r="N751" s="6"/>
      <c r="O751" s="6"/>
      <c r="P751" s="6"/>
      <c r="R751" s="6"/>
      <c r="V751" s="7"/>
      <c r="Z751" s="6"/>
      <c r="AA751" s="6"/>
      <c r="AB751" s="5"/>
    </row>
    <row r="752" spans="1:28" ht="12.75" customHeight="1" x14ac:dyDescent="0.2">
      <c r="A752" s="6"/>
      <c r="D752" s="6"/>
      <c r="F752" s="6"/>
      <c r="G752" s="6"/>
      <c r="H752" s="6"/>
      <c r="I752" s="6"/>
      <c r="K752" s="6"/>
      <c r="L752" s="6"/>
      <c r="N752" s="6"/>
      <c r="O752" s="6"/>
      <c r="P752" s="6"/>
      <c r="R752" s="6"/>
      <c r="V752" s="7"/>
      <c r="Z752" s="6"/>
      <c r="AA752" s="6"/>
      <c r="AB752" s="5"/>
    </row>
    <row r="753" spans="1:28" ht="12.75" customHeight="1" x14ac:dyDescent="0.2">
      <c r="A753" s="6"/>
      <c r="D753" s="6"/>
      <c r="F753" s="6"/>
      <c r="G753" s="6"/>
      <c r="H753" s="6"/>
      <c r="I753" s="6"/>
      <c r="K753" s="6"/>
      <c r="L753" s="6"/>
      <c r="N753" s="6"/>
      <c r="O753" s="6"/>
      <c r="P753" s="6"/>
      <c r="R753" s="6"/>
      <c r="V753" s="7"/>
      <c r="Z753" s="6"/>
      <c r="AA753" s="6"/>
      <c r="AB753" s="5"/>
    </row>
    <row r="754" spans="1:28" ht="12.75" customHeight="1" x14ac:dyDescent="0.2">
      <c r="A754" s="6"/>
      <c r="D754" s="6"/>
      <c r="F754" s="6"/>
      <c r="G754" s="6"/>
      <c r="H754" s="6"/>
      <c r="I754" s="6"/>
      <c r="K754" s="6"/>
      <c r="L754" s="6"/>
      <c r="N754" s="6"/>
      <c r="O754" s="6"/>
      <c r="P754" s="6"/>
      <c r="R754" s="6"/>
      <c r="V754" s="7"/>
      <c r="Z754" s="6"/>
      <c r="AA754" s="6"/>
      <c r="AB754" s="5"/>
    </row>
    <row r="755" spans="1:28" ht="12.75" customHeight="1" x14ac:dyDescent="0.2">
      <c r="A755" s="6"/>
      <c r="D755" s="6"/>
      <c r="F755" s="6"/>
      <c r="G755" s="6"/>
      <c r="H755" s="6"/>
      <c r="I755" s="6"/>
      <c r="K755" s="6"/>
      <c r="L755" s="6"/>
      <c r="N755" s="6"/>
      <c r="O755" s="6"/>
      <c r="P755" s="6"/>
      <c r="R755" s="6"/>
      <c r="V755" s="7"/>
      <c r="Z755" s="6"/>
      <c r="AA755" s="6"/>
      <c r="AB755" s="5"/>
    </row>
    <row r="756" spans="1:28" ht="12.75" customHeight="1" x14ac:dyDescent="0.2">
      <c r="A756" s="6"/>
      <c r="D756" s="6"/>
      <c r="F756" s="6"/>
      <c r="G756" s="6"/>
      <c r="H756" s="6"/>
      <c r="I756" s="6"/>
      <c r="K756" s="6"/>
      <c r="L756" s="6"/>
      <c r="N756" s="6"/>
      <c r="O756" s="6"/>
      <c r="P756" s="6"/>
      <c r="R756" s="6"/>
      <c r="V756" s="7"/>
      <c r="Z756" s="6"/>
      <c r="AA756" s="6"/>
      <c r="AB756" s="5"/>
    </row>
    <row r="757" spans="1:28" ht="12.75" customHeight="1" x14ac:dyDescent="0.2">
      <c r="A757" s="6"/>
      <c r="D757" s="6"/>
      <c r="F757" s="6"/>
      <c r="G757" s="6"/>
      <c r="H757" s="6"/>
      <c r="I757" s="6"/>
      <c r="K757" s="6"/>
      <c r="L757" s="6"/>
      <c r="N757" s="6"/>
      <c r="O757" s="6"/>
      <c r="P757" s="6"/>
      <c r="R757" s="6"/>
      <c r="V757" s="7"/>
      <c r="Z757" s="6"/>
      <c r="AA757" s="6"/>
      <c r="AB757" s="5"/>
    </row>
    <row r="758" spans="1:28" ht="12.75" customHeight="1" x14ac:dyDescent="0.2">
      <c r="A758" s="6"/>
      <c r="D758" s="6"/>
      <c r="F758" s="6"/>
      <c r="G758" s="6"/>
      <c r="H758" s="6"/>
      <c r="I758" s="6"/>
      <c r="K758" s="6"/>
      <c r="L758" s="6"/>
      <c r="N758" s="6"/>
      <c r="O758" s="6"/>
      <c r="P758" s="6"/>
      <c r="R758" s="6"/>
      <c r="V758" s="7"/>
      <c r="Z758" s="6"/>
      <c r="AA758" s="6"/>
      <c r="AB758" s="5"/>
    </row>
    <row r="759" spans="1:28" ht="12.75" customHeight="1" x14ac:dyDescent="0.2">
      <c r="A759" s="6"/>
      <c r="D759" s="6"/>
      <c r="F759" s="6"/>
      <c r="G759" s="6"/>
      <c r="H759" s="6"/>
      <c r="I759" s="6"/>
      <c r="K759" s="6"/>
      <c r="L759" s="6"/>
      <c r="N759" s="6"/>
      <c r="O759" s="6"/>
      <c r="P759" s="6"/>
      <c r="R759" s="6"/>
      <c r="V759" s="7"/>
      <c r="Z759" s="6"/>
      <c r="AA759" s="6"/>
      <c r="AB759" s="5"/>
    </row>
    <row r="760" spans="1:28" ht="12.75" customHeight="1" x14ac:dyDescent="0.2">
      <c r="A760" s="6"/>
      <c r="D760" s="6"/>
      <c r="F760" s="6"/>
      <c r="G760" s="6"/>
      <c r="H760" s="6"/>
      <c r="I760" s="6"/>
      <c r="K760" s="6"/>
      <c r="L760" s="6"/>
      <c r="N760" s="6"/>
      <c r="O760" s="6"/>
      <c r="P760" s="6"/>
      <c r="R760" s="6"/>
      <c r="V760" s="7"/>
      <c r="Z760" s="6"/>
      <c r="AA760" s="6"/>
      <c r="AB760" s="5"/>
    </row>
    <row r="761" spans="1:28" ht="12.75" customHeight="1" x14ac:dyDescent="0.2">
      <c r="A761" s="6"/>
      <c r="D761" s="6"/>
      <c r="F761" s="6"/>
      <c r="G761" s="6"/>
      <c r="H761" s="6"/>
      <c r="I761" s="6"/>
      <c r="K761" s="6"/>
      <c r="L761" s="6"/>
      <c r="N761" s="6"/>
      <c r="O761" s="6"/>
      <c r="P761" s="6"/>
      <c r="R761" s="6"/>
      <c r="V761" s="7"/>
      <c r="Z761" s="6"/>
      <c r="AA761" s="6"/>
      <c r="AB761" s="5"/>
    </row>
    <row r="762" spans="1:28" ht="12.75" customHeight="1" x14ac:dyDescent="0.2">
      <c r="A762" s="6"/>
      <c r="D762" s="6"/>
      <c r="F762" s="6"/>
      <c r="G762" s="6"/>
      <c r="H762" s="6"/>
      <c r="I762" s="6"/>
      <c r="K762" s="6"/>
      <c r="L762" s="6"/>
      <c r="N762" s="6"/>
      <c r="O762" s="6"/>
      <c r="P762" s="6"/>
      <c r="R762" s="6"/>
      <c r="V762" s="7"/>
      <c r="Z762" s="6"/>
      <c r="AA762" s="6"/>
      <c r="AB762" s="5"/>
    </row>
    <row r="763" spans="1:28" ht="12.75" customHeight="1" x14ac:dyDescent="0.2">
      <c r="A763" s="6"/>
      <c r="D763" s="6"/>
      <c r="F763" s="6"/>
      <c r="G763" s="6"/>
      <c r="H763" s="6"/>
      <c r="I763" s="6"/>
      <c r="K763" s="6"/>
      <c r="L763" s="6"/>
      <c r="N763" s="6"/>
      <c r="O763" s="6"/>
      <c r="P763" s="6"/>
      <c r="R763" s="6"/>
      <c r="V763" s="7"/>
      <c r="Z763" s="6"/>
      <c r="AA763" s="6"/>
      <c r="AB763" s="5"/>
    </row>
    <row r="764" spans="1:28" ht="12.75" customHeight="1" x14ac:dyDescent="0.2">
      <c r="A764" s="6"/>
      <c r="D764" s="6"/>
      <c r="F764" s="6"/>
      <c r="G764" s="6"/>
      <c r="H764" s="6"/>
      <c r="I764" s="6"/>
      <c r="K764" s="6"/>
      <c r="L764" s="6"/>
      <c r="N764" s="6"/>
      <c r="O764" s="6"/>
      <c r="P764" s="6"/>
      <c r="R764" s="6"/>
      <c r="V764" s="7"/>
      <c r="Z764" s="6"/>
      <c r="AA764" s="6"/>
      <c r="AB764" s="5"/>
    </row>
    <row r="765" spans="1:28" ht="12.75" customHeight="1" x14ac:dyDescent="0.2">
      <c r="A765" s="6"/>
      <c r="D765" s="6"/>
      <c r="F765" s="6"/>
      <c r="G765" s="6"/>
      <c r="H765" s="6"/>
      <c r="I765" s="6"/>
      <c r="K765" s="6"/>
      <c r="L765" s="6"/>
      <c r="N765" s="6"/>
      <c r="O765" s="6"/>
      <c r="P765" s="6"/>
      <c r="R765" s="6"/>
      <c r="V765" s="7"/>
      <c r="Z765" s="6"/>
      <c r="AA765" s="6"/>
      <c r="AB765" s="5"/>
    </row>
    <row r="766" spans="1:28" ht="12.75" customHeight="1" x14ac:dyDescent="0.2">
      <c r="A766" s="6"/>
      <c r="D766" s="6"/>
      <c r="F766" s="6"/>
      <c r="G766" s="6"/>
      <c r="H766" s="6"/>
      <c r="I766" s="6"/>
      <c r="K766" s="6"/>
      <c r="L766" s="6"/>
      <c r="N766" s="6"/>
      <c r="O766" s="6"/>
      <c r="P766" s="6"/>
      <c r="R766" s="6"/>
      <c r="V766" s="7"/>
      <c r="Z766" s="6"/>
      <c r="AA766" s="6"/>
      <c r="AB766" s="5"/>
    </row>
    <row r="767" spans="1:28" ht="12.75" customHeight="1" x14ac:dyDescent="0.2">
      <c r="A767" s="6"/>
      <c r="D767" s="6"/>
      <c r="F767" s="6"/>
      <c r="G767" s="6"/>
      <c r="H767" s="6"/>
      <c r="I767" s="6"/>
      <c r="K767" s="6"/>
      <c r="L767" s="6"/>
      <c r="N767" s="6"/>
      <c r="O767" s="6"/>
      <c r="P767" s="6"/>
      <c r="R767" s="6"/>
      <c r="V767" s="7"/>
      <c r="Z767" s="6"/>
      <c r="AA767" s="6"/>
      <c r="AB767" s="5"/>
    </row>
    <row r="768" spans="1:28" ht="12.75" customHeight="1" x14ac:dyDescent="0.2">
      <c r="A768" s="6"/>
      <c r="D768" s="6"/>
      <c r="F768" s="6"/>
      <c r="G768" s="6"/>
      <c r="H768" s="6"/>
      <c r="I768" s="6"/>
      <c r="K768" s="6"/>
      <c r="L768" s="6"/>
      <c r="N768" s="6"/>
      <c r="O768" s="6"/>
      <c r="P768" s="6"/>
      <c r="R768" s="6"/>
      <c r="V768" s="7"/>
      <c r="Z768" s="6"/>
      <c r="AA768" s="6"/>
      <c r="AB768" s="5"/>
    </row>
    <row r="769" spans="1:28" ht="12.75" customHeight="1" x14ac:dyDescent="0.2">
      <c r="A769" s="6"/>
      <c r="D769" s="6"/>
      <c r="F769" s="6"/>
      <c r="G769" s="6"/>
      <c r="H769" s="6"/>
      <c r="I769" s="6"/>
      <c r="K769" s="6"/>
      <c r="L769" s="6"/>
      <c r="N769" s="6"/>
      <c r="O769" s="6"/>
      <c r="P769" s="6"/>
      <c r="R769" s="6"/>
      <c r="V769" s="7"/>
      <c r="Z769" s="6"/>
      <c r="AA769" s="6"/>
      <c r="AB769" s="5"/>
    </row>
    <row r="770" spans="1:28" ht="12.75" customHeight="1" x14ac:dyDescent="0.2">
      <c r="A770" s="6"/>
      <c r="D770" s="6"/>
      <c r="F770" s="6"/>
      <c r="G770" s="6"/>
      <c r="H770" s="6"/>
      <c r="I770" s="6"/>
      <c r="K770" s="6"/>
      <c r="L770" s="6"/>
      <c r="N770" s="6"/>
      <c r="O770" s="6"/>
      <c r="P770" s="6"/>
      <c r="R770" s="6"/>
      <c r="V770" s="7"/>
      <c r="Z770" s="6"/>
      <c r="AA770" s="6"/>
      <c r="AB770" s="5"/>
    </row>
    <row r="771" spans="1:28" ht="12.75" customHeight="1" x14ac:dyDescent="0.2">
      <c r="A771" s="6"/>
      <c r="D771" s="6"/>
      <c r="F771" s="6"/>
      <c r="G771" s="6"/>
      <c r="H771" s="6"/>
      <c r="I771" s="6"/>
      <c r="K771" s="6"/>
      <c r="L771" s="6"/>
      <c r="N771" s="6"/>
      <c r="O771" s="6"/>
      <c r="P771" s="6"/>
      <c r="R771" s="6"/>
      <c r="V771" s="7"/>
      <c r="Z771" s="6"/>
      <c r="AA771" s="6"/>
      <c r="AB771" s="5"/>
    </row>
    <row r="772" spans="1:28" ht="12.75" customHeight="1" x14ac:dyDescent="0.2">
      <c r="A772" s="6"/>
      <c r="D772" s="6"/>
      <c r="F772" s="6"/>
      <c r="G772" s="6"/>
      <c r="H772" s="6"/>
      <c r="I772" s="6"/>
      <c r="K772" s="6"/>
      <c r="L772" s="6"/>
      <c r="N772" s="6"/>
      <c r="O772" s="6"/>
      <c r="P772" s="6"/>
      <c r="R772" s="6"/>
      <c r="V772" s="7"/>
      <c r="Z772" s="6"/>
      <c r="AA772" s="6"/>
      <c r="AB772" s="5"/>
    </row>
    <row r="773" spans="1:28" ht="12.75" customHeight="1" x14ac:dyDescent="0.2">
      <c r="A773" s="6"/>
      <c r="D773" s="6"/>
      <c r="F773" s="6"/>
      <c r="G773" s="6"/>
      <c r="H773" s="6"/>
      <c r="I773" s="6"/>
      <c r="K773" s="6"/>
      <c r="L773" s="6"/>
      <c r="N773" s="6"/>
      <c r="O773" s="6"/>
      <c r="P773" s="6"/>
      <c r="R773" s="6"/>
      <c r="V773" s="7"/>
      <c r="Z773" s="6"/>
      <c r="AA773" s="6"/>
      <c r="AB773" s="5"/>
    </row>
    <row r="774" spans="1:28" ht="12.75" customHeight="1" x14ac:dyDescent="0.2">
      <c r="A774" s="6"/>
      <c r="D774" s="6"/>
      <c r="F774" s="6"/>
      <c r="G774" s="6"/>
      <c r="H774" s="6"/>
      <c r="I774" s="6"/>
      <c r="K774" s="6"/>
      <c r="L774" s="6"/>
      <c r="N774" s="6"/>
      <c r="O774" s="6"/>
      <c r="P774" s="6"/>
      <c r="R774" s="6"/>
      <c r="V774" s="7"/>
      <c r="Z774" s="6"/>
      <c r="AA774" s="6"/>
      <c r="AB774" s="5"/>
    </row>
    <row r="775" spans="1:28" ht="12.75" customHeight="1" x14ac:dyDescent="0.2">
      <c r="A775" s="6"/>
      <c r="D775" s="6"/>
      <c r="F775" s="6"/>
      <c r="G775" s="6"/>
      <c r="H775" s="6"/>
      <c r="I775" s="6"/>
      <c r="K775" s="6"/>
      <c r="L775" s="6"/>
      <c r="N775" s="6"/>
      <c r="O775" s="6"/>
      <c r="P775" s="6"/>
      <c r="R775" s="6"/>
      <c r="V775" s="7"/>
      <c r="Z775" s="6"/>
      <c r="AA775" s="6"/>
      <c r="AB775" s="5"/>
    </row>
    <row r="776" spans="1:28" ht="12.75" customHeight="1" x14ac:dyDescent="0.2">
      <c r="A776" s="6"/>
      <c r="D776" s="6"/>
      <c r="F776" s="6"/>
      <c r="G776" s="6"/>
      <c r="H776" s="6"/>
      <c r="I776" s="6"/>
      <c r="K776" s="6"/>
      <c r="L776" s="6"/>
      <c r="N776" s="6"/>
      <c r="O776" s="6"/>
      <c r="P776" s="6"/>
      <c r="R776" s="6"/>
      <c r="V776" s="7"/>
      <c r="Z776" s="6"/>
      <c r="AA776" s="6"/>
      <c r="AB776" s="5"/>
    </row>
    <row r="777" spans="1:28" ht="12.75" customHeight="1" x14ac:dyDescent="0.2">
      <c r="A777" s="6"/>
      <c r="D777" s="6"/>
      <c r="F777" s="6"/>
      <c r="G777" s="6"/>
      <c r="H777" s="6"/>
      <c r="I777" s="6"/>
      <c r="K777" s="6"/>
      <c r="L777" s="6"/>
      <c r="N777" s="6"/>
      <c r="O777" s="6"/>
      <c r="P777" s="6"/>
      <c r="R777" s="6"/>
      <c r="V777" s="7"/>
      <c r="Z777" s="6"/>
      <c r="AA777" s="6"/>
      <c r="AB777" s="5"/>
    </row>
    <row r="778" spans="1:28" ht="12.75" customHeight="1" x14ac:dyDescent="0.2">
      <c r="A778" s="6"/>
      <c r="D778" s="6"/>
      <c r="F778" s="6"/>
      <c r="G778" s="6"/>
      <c r="H778" s="6"/>
      <c r="I778" s="6"/>
      <c r="K778" s="6"/>
      <c r="L778" s="6"/>
      <c r="N778" s="6"/>
      <c r="O778" s="6"/>
      <c r="P778" s="6"/>
      <c r="R778" s="6"/>
      <c r="V778" s="7"/>
      <c r="Z778" s="6"/>
      <c r="AA778" s="6"/>
      <c r="AB778" s="5"/>
    </row>
    <row r="779" spans="1:28" ht="12.75" customHeight="1" x14ac:dyDescent="0.2">
      <c r="A779" s="6"/>
      <c r="D779" s="6"/>
      <c r="F779" s="6"/>
      <c r="G779" s="6"/>
      <c r="H779" s="6"/>
      <c r="I779" s="6"/>
      <c r="K779" s="6"/>
      <c r="L779" s="6"/>
      <c r="N779" s="6"/>
      <c r="O779" s="6"/>
      <c r="P779" s="6"/>
      <c r="R779" s="6"/>
      <c r="V779" s="7"/>
      <c r="Z779" s="6"/>
      <c r="AA779" s="6"/>
      <c r="AB779" s="5"/>
    </row>
    <row r="780" spans="1:28" ht="12.75" customHeight="1" x14ac:dyDescent="0.2">
      <c r="A780" s="6"/>
      <c r="D780" s="6"/>
      <c r="F780" s="6"/>
      <c r="G780" s="6"/>
      <c r="H780" s="6"/>
      <c r="I780" s="6"/>
      <c r="K780" s="6"/>
      <c r="L780" s="6"/>
      <c r="N780" s="6"/>
      <c r="O780" s="6"/>
      <c r="P780" s="6"/>
      <c r="R780" s="6"/>
      <c r="V780" s="7"/>
      <c r="Z780" s="6"/>
      <c r="AA780" s="6"/>
      <c r="AB780" s="5"/>
    </row>
    <row r="781" spans="1:28" ht="12.75" customHeight="1" x14ac:dyDescent="0.2">
      <c r="A781" s="6"/>
      <c r="D781" s="6"/>
      <c r="F781" s="6"/>
      <c r="G781" s="6"/>
      <c r="H781" s="6"/>
      <c r="I781" s="6"/>
      <c r="K781" s="6"/>
      <c r="L781" s="6"/>
      <c r="N781" s="6"/>
      <c r="O781" s="6"/>
      <c r="P781" s="6"/>
      <c r="R781" s="6"/>
      <c r="V781" s="7"/>
      <c r="Z781" s="6"/>
      <c r="AA781" s="6"/>
      <c r="AB781" s="5"/>
    </row>
    <row r="782" spans="1:28" ht="12.75" customHeight="1" x14ac:dyDescent="0.2">
      <c r="A782" s="6"/>
      <c r="D782" s="6"/>
      <c r="F782" s="6"/>
      <c r="G782" s="6"/>
      <c r="H782" s="6"/>
      <c r="I782" s="6"/>
      <c r="K782" s="6"/>
      <c r="L782" s="6"/>
      <c r="N782" s="6"/>
      <c r="O782" s="6"/>
      <c r="P782" s="6"/>
      <c r="R782" s="6"/>
      <c r="V782" s="7"/>
      <c r="Z782" s="6"/>
      <c r="AA782" s="6"/>
      <c r="AB782" s="5"/>
    </row>
    <row r="783" spans="1:28" ht="12.75" customHeight="1" x14ac:dyDescent="0.2">
      <c r="A783" s="6"/>
      <c r="D783" s="6"/>
      <c r="F783" s="6"/>
      <c r="G783" s="6"/>
      <c r="H783" s="6"/>
      <c r="I783" s="6"/>
      <c r="K783" s="6"/>
      <c r="L783" s="6"/>
      <c r="N783" s="6"/>
      <c r="O783" s="6"/>
      <c r="P783" s="6"/>
      <c r="R783" s="6"/>
      <c r="V783" s="7"/>
      <c r="Z783" s="6"/>
      <c r="AA783" s="6"/>
      <c r="AB783" s="5"/>
    </row>
    <row r="784" spans="1:28" ht="12.75" customHeight="1" x14ac:dyDescent="0.2">
      <c r="A784" s="6"/>
      <c r="D784" s="6"/>
      <c r="F784" s="6"/>
      <c r="G784" s="6"/>
      <c r="H784" s="6"/>
      <c r="I784" s="6"/>
      <c r="K784" s="6"/>
      <c r="L784" s="6"/>
      <c r="N784" s="6"/>
      <c r="O784" s="6"/>
      <c r="P784" s="6"/>
      <c r="R784" s="6"/>
      <c r="V784" s="7"/>
      <c r="Z784" s="6"/>
      <c r="AA784" s="6"/>
      <c r="AB784" s="5"/>
    </row>
    <row r="785" spans="1:28" ht="12.75" customHeight="1" x14ac:dyDescent="0.2">
      <c r="A785" s="6"/>
      <c r="D785" s="6"/>
      <c r="F785" s="6"/>
      <c r="G785" s="6"/>
      <c r="H785" s="6"/>
      <c r="I785" s="6"/>
      <c r="K785" s="6"/>
      <c r="L785" s="6"/>
      <c r="N785" s="6"/>
      <c r="O785" s="6"/>
      <c r="P785" s="6"/>
      <c r="R785" s="6"/>
      <c r="V785" s="7"/>
      <c r="Z785" s="6"/>
      <c r="AA785" s="6"/>
      <c r="AB785" s="5"/>
    </row>
    <row r="786" spans="1:28" ht="12.75" customHeight="1" x14ac:dyDescent="0.2">
      <c r="A786" s="6"/>
      <c r="D786" s="6"/>
      <c r="F786" s="6"/>
      <c r="G786" s="6"/>
      <c r="H786" s="6"/>
      <c r="I786" s="6"/>
      <c r="K786" s="6"/>
      <c r="L786" s="6"/>
      <c r="N786" s="6"/>
      <c r="O786" s="6"/>
      <c r="P786" s="6"/>
      <c r="R786" s="6"/>
      <c r="V786" s="7"/>
      <c r="Z786" s="6"/>
      <c r="AA786" s="6"/>
      <c r="AB786" s="5"/>
    </row>
    <row r="787" spans="1:28" ht="12.75" customHeight="1" x14ac:dyDescent="0.2">
      <c r="A787" s="6"/>
      <c r="D787" s="6"/>
      <c r="F787" s="6"/>
      <c r="G787" s="6"/>
      <c r="H787" s="6"/>
      <c r="I787" s="6"/>
      <c r="K787" s="6"/>
      <c r="L787" s="6"/>
      <c r="N787" s="6"/>
      <c r="O787" s="6"/>
      <c r="P787" s="6"/>
      <c r="R787" s="6"/>
      <c r="V787" s="7"/>
      <c r="Z787" s="6"/>
      <c r="AA787" s="6"/>
      <c r="AB787" s="5"/>
    </row>
    <row r="788" spans="1:28" ht="12.75" customHeight="1" x14ac:dyDescent="0.2">
      <c r="A788" s="6"/>
      <c r="D788" s="6"/>
      <c r="F788" s="6"/>
      <c r="G788" s="6"/>
      <c r="H788" s="6"/>
      <c r="I788" s="6"/>
      <c r="K788" s="6"/>
      <c r="L788" s="6"/>
      <c r="N788" s="6"/>
      <c r="O788" s="6"/>
      <c r="P788" s="6"/>
      <c r="R788" s="6"/>
      <c r="V788" s="7"/>
      <c r="Z788" s="6"/>
      <c r="AA788" s="6"/>
      <c r="AB788" s="5"/>
    </row>
    <row r="789" spans="1:28" ht="12.75" customHeight="1" x14ac:dyDescent="0.2">
      <c r="A789" s="6"/>
      <c r="D789" s="6"/>
      <c r="F789" s="6"/>
      <c r="G789" s="6"/>
      <c r="H789" s="6"/>
      <c r="I789" s="6"/>
      <c r="K789" s="6"/>
      <c r="L789" s="6"/>
      <c r="N789" s="6"/>
      <c r="O789" s="6"/>
      <c r="P789" s="6"/>
      <c r="R789" s="6"/>
      <c r="V789" s="7"/>
      <c r="Z789" s="6"/>
      <c r="AA789" s="6"/>
      <c r="AB789" s="5"/>
    </row>
    <row r="790" spans="1:28" ht="12.75" customHeight="1" x14ac:dyDescent="0.2">
      <c r="A790" s="6"/>
      <c r="D790" s="6"/>
      <c r="F790" s="6"/>
      <c r="G790" s="6"/>
      <c r="H790" s="6"/>
      <c r="I790" s="6"/>
      <c r="K790" s="6"/>
      <c r="L790" s="6"/>
      <c r="N790" s="6"/>
      <c r="O790" s="6"/>
      <c r="P790" s="6"/>
      <c r="R790" s="6"/>
      <c r="V790" s="7"/>
      <c r="Z790" s="6"/>
      <c r="AA790" s="6"/>
      <c r="AB790" s="5"/>
    </row>
    <row r="791" spans="1:28" ht="12.75" customHeight="1" x14ac:dyDescent="0.2">
      <c r="A791" s="6"/>
      <c r="D791" s="6"/>
      <c r="F791" s="6"/>
      <c r="G791" s="6"/>
      <c r="H791" s="6"/>
      <c r="I791" s="6"/>
      <c r="K791" s="6"/>
      <c r="L791" s="6"/>
      <c r="N791" s="6"/>
      <c r="O791" s="6"/>
      <c r="P791" s="6"/>
      <c r="R791" s="6"/>
      <c r="V791" s="7"/>
      <c r="Z791" s="6"/>
      <c r="AA791" s="6"/>
      <c r="AB791" s="5"/>
    </row>
    <row r="792" spans="1:28" ht="12.75" customHeight="1" x14ac:dyDescent="0.2">
      <c r="A792" s="6"/>
      <c r="D792" s="6"/>
      <c r="F792" s="6"/>
      <c r="G792" s="6"/>
      <c r="H792" s="6"/>
      <c r="I792" s="6"/>
      <c r="K792" s="6"/>
      <c r="L792" s="6"/>
      <c r="N792" s="6"/>
      <c r="O792" s="6"/>
      <c r="P792" s="6"/>
      <c r="R792" s="6"/>
      <c r="V792" s="7"/>
      <c r="Z792" s="6"/>
      <c r="AA792" s="6"/>
      <c r="AB792" s="5"/>
    </row>
    <row r="793" spans="1:28" ht="12.75" customHeight="1" x14ac:dyDescent="0.2">
      <c r="A793" s="6"/>
      <c r="D793" s="6"/>
      <c r="F793" s="6"/>
      <c r="G793" s="6"/>
      <c r="H793" s="6"/>
      <c r="I793" s="6"/>
      <c r="K793" s="6"/>
      <c r="L793" s="6"/>
      <c r="N793" s="6"/>
      <c r="O793" s="6"/>
      <c r="P793" s="6"/>
      <c r="R793" s="6"/>
      <c r="V793" s="7"/>
      <c r="Z793" s="6"/>
      <c r="AA793" s="6"/>
      <c r="AB793" s="5"/>
    </row>
    <row r="794" spans="1:28" ht="12.75" customHeight="1" x14ac:dyDescent="0.2">
      <c r="A794" s="6"/>
      <c r="D794" s="6"/>
      <c r="F794" s="6"/>
      <c r="G794" s="6"/>
      <c r="H794" s="6"/>
      <c r="I794" s="6"/>
      <c r="K794" s="6"/>
      <c r="L794" s="6"/>
      <c r="N794" s="6"/>
      <c r="O794" s="6"/>
      <c r="P794" s="6"/>
      <c r="R794" s="6"/>
      <c r="V794" s="7"/>
      <c r="Z794" s="6"/>
      <c r="AA794" s="6"/>
      <c r="AB794" s="5"/>
    </row>
    <row r="795" spans="1:28" ht="12.75" customHeight="1" x14ac:dyDescent="0.2">
      <c r="A795" s="6"/>
      <c r="D795" s="6"/>
      <c r="F795" s="6"/>
      <c r="G795" s="6"/>
      <c r="H795" s="6"/>
      <c r="I795" s="6"/>
      <c r="K795" s="6"/>
      <c r="L795" s="6"/>
      <c r="N795" s="6"/>
      <c r="O795" s="6"/>
      <c r="P795" s="6"/>
      <c r="R795" s="6"/>
      <c r="V795" s="7"/>
      <c r="Z795" s="6"/>
      <c r="AA795" s="6"/>
      <c r="AB795" s="5"/>
    </row>
    <row r="796" spans="1:28" ht="12.75" customHeight="1" x14ac:dyDescent="0.2">
      <c r="A796" s="6"/>
      <c r="D796" s="6"/>
      <c r="F796" s="6"/>
      <c r="G796" s="6"/>
      <c r="H796" s="6"/>
      <c r="I796" s="6"/>
      <c r="K796" s="6"/>
      <c r="L796" s="6"/>
      <c r="N796" s="6"/>
      <c r="O796" s="6"/>
      <c r="P796" s="6"/>
      <c r="R796" s="6"/>
      <c r="V796" s="7"/>
      <c r="Z796" s="6"/>
      <c r="AA796" s="6"/>
      <c r="AB796" s="5"/>
    </row>
    <row r="797" spans="1:28" ht="12.75" customHeight="1" x14ac:dyDescent="0.2">
      <c r="A797" s="6"/>
      <c r="D797" s="6"/>
      <c r="F797" s="6"/>
      <c r="G797" s="6"/>
      <c r="H797" s="6"/>
      <c r="I797" s="6"/>
      <c r="K797" s="6"/>
      <c r="L797" s="6"/>
      <c r="N797" s="6"/>
      <c r="O797" s="6"/>
      <c r="P797" s="6"/>
      <c r="R797" s="6"/>
      <c r="V797" s="7"/>
      <c r="Z797" s="6"/>
      <c r="AA797" s="6"/>
      <c r="AB797" s="5"/>
    </row>
    <row r="798" spans="1:28" ht="12.75" customHeight="1" x14ac:dyDescent="0.2">
      <c r="A798" s="6"/>
      <c r="D798" s="6"/>
      <c r="F798" s="6"/>
      <c r="G798" s="6"/>
      <c r="H798" s="6"/>
      <c r="I798" s="6"/>
      <c r="K798" s="6"/>
      <c r="L798" s="6"/>
      <c r="N798" s="6"/>
      <c r="O798" s="6"/>
      <c r="P798" s="6"/>
      <c r="R798" s="6"/>
      <c r="V798" s="7"/>
      <c r="Z798" s="6"/>
      <c r="AA798" s="6"/>
      <c r="AB798" s="5"/>
    </row>
    <row r="799" spans="1:28" ht="12.75" customHeight="1" x14ac:dyDescent="0.2">
      <c r="A799" s="6"/>
      <c r="D799" s="6"/>
      <c r="F799" s="6"/>
      <c r="G799" s="6"/>
      <c r="H799" s="6"/>
      <c r="I799" s="6"/>
      <c r="K799" s="6"/>
      <c r="L799" s="6"/>
      <c r="N799" s="6"/>
      <c r="O799" s="6"/>
      <c r="P799" s="6"/>
      <c r="R799" s="6"/>
      <c r="V799" s="7"/>
      <c r="Z799" s="6"/>
      <c r="AA799" s="6"/>
      <c r="AB799" s="5"/>
    </row>
    <row r="800" spans="1:28" ht="12.75" customHeight="1" x14ac:dyDescent="0.2">
      <c r="A800" s="6"/>
      <c r="D800" s="6"/>
      <c r="F800" s="6"/>
      <c r="G800" s="6"/>
      <c r="H800" s="6"/>
      <c r="I800" s="6"/>
      <c r="K800" s="6"/>
      <c r="L800" s="6"/>
      <c r="N800" s="6"/>
      <c r="O800" s="6"/>
      <c r="P800" s="6"/>
      <c r="R800" s="6"/>
      <c r="V800" s="7"/>
      <c r="Z800" s="6"/>
      <c r="AA800" s="6"/>
      <c r="AB800" s="5"/>
    </row>
    <row r="801" spans="1:28" ht="12.75" customHeight="1" x14ac:dyDescent="0.2">
      <c r="A801" s="6"/>
      <c r="D801" s="6"/>
      <c r="F801" s="6"/>
      <c r="G801" s="6"/>
      <c r="H801" s="6"/>
      <c r="I801" s="6"/>
      <c r="K801" s="6"/>
      <c r="L801" s="6"/>
      <c r="N801" s="6"/>
      <c r="O801" s="6"/>
      <c r="P801" s="6"/>
      <c r="R801" s="6"/>
      <c r="V801" s="7"/>
      <c r="Z801" s="6"/>
      <c r="AA801" s="6"/>
      <c r="AB801" s="5"/>
    </row>
    <row r="802" spans="1:28" ht="12.75" customHeight="1" x14ac:dyDescent="0.2">
      <c r="A802" s="6"/>
      <c r="D802" s="6"/>
      <c r="F802" s="6"/>
      <c r="G802" s="6"/>
      <c r="H802" s="6"/>
      <c r="I802" s="6"/>
      <c r="K802" s="6"/>
      <c r="L802" s="6"/>
      <c r="N802" s="6"/>
      <c r="O802" s="6"/>
      <c r="P802" s="6"/>
      <c r="R802" s="6"/>
      <c r="V802" s="7"/>
      <c r="Z802" s="6"/>
      <c r="AA802" s="6"/>
      <c r="AB802" s="5"/>
    </row>
    <row r="803" spans="1:28" ht="12.75" customHeight="1" x14ac:dyDescent="0.2">
      <c r="A803" s="6"/>
      <c r="D803" s="6"/>
      <c r="F803" s="6"/>
      <c r="G803" s="6"/>
      <c r="H803" s="6"/>
      <c r="I803" s="6"/>
      <c r="K803" s="6"/>
      <c r="L803" s="6"/>
      <c r="N803" s="6"/>
      <c r="O803" s="6"/>
      <c r="P803" s="6"/>
      <c r="R803" s="6"/>
      <c r="V803" s="7"/>
      <c r="Z803" s="6"/>
      <c r="AA803" s="6"/>
      <c r="AB803" s="5"/>
    </row>
    <row r="804" spans="1:28" ht="12.75" customHeight="1" x14ac:dyDescent="0.2">
      <c r="A804" s="6"/>
      <c r="D804" s="6"/>
      <c r="F804" s="6"/>
      <c r="G804" s="6"/>
      <c r="H804" s="6"/>
      <c r="I804" s="6"/>
      <c r="K804" s="6"/>
      <c r="L804" s="6"/>
      <c r="N804" s="6"/>
      <c r="O804" s="6"/>
      <c r="P804" s="6"/>
      <c r="R804" s="6"/>
      <c r="V804" s="7"/>
      <c r="Z804" s="6"/>
      <c r="AA804" s="6"/>
      <c r="AB804" s="5"/>
    </row>
    <row r="805" spans="1:28" ht="12.75" customHeight="1" x14ac:dyDescent="0.2">
      <c r="A805" s="6"/>
      <c r="D805" s="6"/>
      <c r="F805" s="6"/>
      <c r="G805" s="6"/>
      <c r="H805" s="6"/>
      <c r="I805" s="6"/>
      <c r="K805" s="6"/>
      <c r="L805" s="6"/>
      <c r="N805" s="6"/>
      <c r="O805" s="6"/>
      <c r="P805" s="6"/>
      <c r="R805" s="6"/>
      <c r="V805" s="7"/>
      <c r="Z805" s="6"/>
      <c r="AA805" s="6"/>
      <c r="AB805" s="5"/>
    </row>
    <row r="806" spans="1:28" ht="12.75" customHeight="1" x14ac:dyDescent="0.2">
      <c r="A806" s="6"/>
      <c r="D806" s="6"/>
      <c r="F806" s="6"/>
      <c r="G806" s="6"/>
      <c r="H806" s="6"/>
      <c r="I806" s="6"/>
      <c r="K806" s="6"/>
      <c r="L806" s="6"/>
      <c r="N806" s="6"/>
      <c r="O806" s="6"/>
      <c r="P806" s="6"/>
      <c r="R806" s="6"/>
      <c r="V806" s="7"/>
      <c r="Z806" s="6"/>
      <c r="AA806" s="6"/>
      <c r="AB806" s="5"/>
    </row>
    <row r="807" spans="1:28" ht="12.75" customHeight="1" x14ac:dyDescent="0.2">
      <c r="A807" s="6"/>
      <c r="D807" s="6"/>
      <c r="F807" s="6"/>
      <c r="G807" s="6"/>
      <c r="H807" s="6"/>
      <c r="I807" s="6"/>
      <c r="K807" s="6"/>
      <c r="L807" s="6"/>
      <c r="N807" s="6"/>
      <c r="O807" s="6"/>
      <c r="P807" s="6"/>
      <c r="R807" s="6"/>
      <c r="V807" s="7"/>
      <c r="Z807" s="6"/>
      <c r="AA807" s="6"/>
      <c r="AB807" s="5"/>
    </row>
    <row r="808" spans="1:28" ht="12.75" customHeight="1" x14ac:dyDescent="0.2">
      <c r="A808" s="6"/>
      <c r="D808" s="6"/>
      <c r="F808" s="6"/>
      <c r="G808" s="6"/>
      <c r="H808" s="6"/>
      <c r="I808" s="6"/>
      <c r="K808" s="6"/>
      <c r="L808" s="6"/>
      <c r="N808" s="6"/>
      <c r="O808" s="6"/>
      <c r="P808" s="6"/>
      <c r="R808" s="6"/>
      <c r="V808" s="7"/>
      <c r="Z808" s="6"/>
      <c r="AA808" s="6"/>
      <c r="AB808" s="5"/>
    </row>
    <row r="809" spans="1:28" ht="12.75" customHeight="1" x14ac:dyDescent="0.2">
      <c r="A809" s="6"/>
      <c r="D809" s="6"/>
      <c r="F809" s="6"/>
      <c r="G809" s="6"/>
      <c r="H809" s="6"/>
      <c r="I809" s="6"/>
      <c r="K809" s="6"/>
      <c r="L809" s="6"/>
      <c r="N809" s="6"/>
      <c r="O809" s="6"/>
      <c r="P809" s="6"/>
      <c r="R809" s="6"/>
      <c r="V809" s="7"/>
      <c r="Z809" s="6"/>
      <c r="AA809" s="6"/>
      <c r="AB809" s="5"/>
    </row>
    <row r="810" spans="1:28" ht="12.75" customHeight="1" x14ac:dyDescent="0.2">
      <c r="A810" s="6"/>
      <c r="D810" s="6"/>
      <c r="F810" s="6"/>
      <c r="G810" s="6"/>
      <c r="H810" s="6"/>
      <c r="I810" s="6"/>
      <c r="K810" s="6"/>
      <c r="L810" s="6"/>
      <c r="N810" s="6"/>
      <c r="O810" s="6"/>
      <c r="P810" s="6"/>
      <c r="R810" s="6"/>
      <c r="V810" s="7"/>
      <c r="Z810" s="6"/>
      <c r="AA810" s="6"/>
      <c r="AB810" s="5"/>
    </row>
    <row r="811" spans="1:28" ht="12.75" customHeight="1" x14ac:dyDescent="0.2">
      <c r="A811" s="6"/>
      <c r="D811" s="6"/>
      <c r="F811" s="6"/>
      <c r="G811" s="6"/>
      <c r="H811" s="6"/>
      <c r="I811" s="6"/>
      <c r="K811" s="6"/>
      <c r="L811" s="6"/>
      <c r="N811" s="6"/>
      <c r="O811" s="6"/>
      <c r="P811" s="6"/>
      <c r="R811" s="6"/>
      <c r="V811" s="7"/>
      <c r="Z811" s="6"/>
      <c r="AA811" s="6"/>
      <c r="AB811" s="5"/>
    </row>
    <row r="812" spans="1:28" ht="12.75" customHeight="1" x14ac:dyDescent="0.2">
      <c r="A812" s="6"/>
      <c r="D812" s="6"/>
      <c r="F812" s="6"/>
      <c r="G812" s="6"/>
      <c r="H812" s="6"/>
      <c r="I812" s="6"/>
      <c r="K812" s="6"/>
      <c r="L812" s="6"/>
      <c r="N812" s="6"/>
      <c r="O812" s="6"/>
      <c r="P812" s="6"/>
      <c r="R812" s="6"/>
      <c r="V812" s="7"/>
      <c r="Z812" s="6"/>
      <c r="AA812" s="6"/>
      <c r="AB812" s="5"/>
    </row>
    <row r="813" spans="1:28" ht="12.75" customHeight="1" x14ac:dyDescent="0.2">
      <c r="A813" s="6"/>
      <c r="D813" s="6"/>
      <c r="F813" s="6"/>
      <c r="G813" s="6"/>
      <c r="H813" s="6"/>
      <c r="I813" s="6"/>
      <c r="K813" s="6"/>
      <c r="L813" s="6"/>
      <c r="N813" s="6"/>
      <c r="O813" s="6"/>
      <c r="P813" s="6"/>
      <c r="R813" s="6"/>
      <c r="V813" s="7"/>
      <c r="Z813" s="6"/>
      <c r="AA813" s="6"/>
      <c r="AB813" s="5"/>
    </row>
    <row r="814" spans="1:28" ht="12.75" customHeight="1" x14ac:dyDescent="0.2">
      <c r="A814" s="6"/>
      <c r="D814" s="6"/>
      <c r="F814" s="6"/>
      <c r="G814" s="6"/>
      <c r="H814" s="6"/>
      <c r="I814" s="6"/>
      <c r="K814" s="6"/>
      <c r="L814" s="6"/>
      <c r="N814" s="6"/>
      <c r="O814" s="6"/>
      <c r="P814" s="6"/>
      <c r="R814" s="6"/>
      <c r="V814" s="7"/>
      <c r="Z814" s="6"/>
      <c r="AA814" s="6"/>
      <c r="AB814" s="5"/>
    </row>
    <row r="815" spans="1:28" ht="12.75" customHeight="1" x14ac:dyDescent="0.2">
      <c r="A815" s="6"/>
      <c r="D815" s="6"/>
      <c r="F815" s="6"/>
      <c r="G815" s="6"/>
      <c r="H815" s="6"/>
      <c r="I815" s="6"/>
      <c r="K815" s="6"/>
      <c r="L815" s="6"/>
      <c r="N815" s="6"/>
      <c r="O815" s="6"/>
      <c r="P815" s="6"/>
      <c r="R815" s="6"/>
      <c r="V815" s="7"/>
      <c r="Z815" s="6"/>
      <c r="AA815" s="6"/>
      <c r="AB815" s="5"/>
    </row>
    <row r="816" spans="1:28" ht="12.75" customHeight="1" x14ac:dyDescent="0.2">
      <c r="A816" s="6"/>
      <c r="D816" s="6"/>
      <c r="F816" s="6"/>
      <c r="G816" s="6"/>
      <c r="H816" s="6"/>
      <c r="I816" s="6"/>
      <c r="K816" s="6"/>
      <c r="L816" s="6"/>
      <c r="N816" s="6"/>
      <c r="O816" s="6"/>
      <c r="P816" s="6"/>
      <c r="R816" s="6"/>
      <c r="V816" s="7"/>
      <c r="Z816" s="6"/>
      <c r="AA816" s="6"/>
      <c r="AB816" s="5"/>
    </row>
    <row r="817" spans="1:28" ht="12.75" customHeight="1" x14ac:dyDescent="0.2">
      <c r="A817" s="6"/>
      <c r="D817" s="6"/>
      <c r="F817" s="6"/>
      <c r="G817" s="6"/>
      <c r="H817" s="6"/>
      <c r="I817" s="6"/>
      <c r="K817" s="6"/>
      <c r="L817" s="6"/>
      <c r="N817" s="6"/>
      <c r="O817" s="6"/>
      <c r="P817" s="6"/>
      <c r="R817" s="6"/>
      <c r="V817" s="7"/>
      <c r="Z817" s="6"/>
      <c r="AA817" s="6"/>
      <c r="AB817" s="5"/>
    </row>
    <row r="818" spans="1:28" ht="12.75" customHeight="1" x14ac:dyDescent="0.2">
      <c r="A818" s="6"/>
      <c r="D818" s="6"/>
      <c r="F818" s="6"/>
      <c r="G818" s="6"/>
      <c r="H818" s="6"/>
      <c r="I818" s="6"/>
      <c r="K818" s="6"/>
      <c r="L818" s="6"/>
      <c r="N818" s="6"/>
      <c r="O818" s="6"/>
      <c r="P818" s="6"/>
      <c r="R818" s="6"/>
      <c r="V818" s="7"/>
      <c r="Z818" s="6"/>
      <c r="AA818" s="6"/>
      <c r="AB818" s="5"/>
    </row>
    <row r="819" spans="1:28" ht="12.75" customHeight="1" x14ac:dyDescent="0.2">
      <c r="A819" s="6"/>
      <c r="D819" s="6"/>
      <c r="F819" s="6"/>
      <c r="G819" s="6"/>
      <c r="H819" s="6"/>
      <c r="I819" s="6"/>
      <c r="K819" s="6"/>
      <c r="L819" s="6"/>
      <c r="N819" s="6"/>
      <c r="O819" s="6"/>
      <c r="P819" s="6"/>
      <c r="R819" s="6"/>
      <c r="V819" s="7"/>
      <c r="Z819" s="6"/>
      <c r="AA819" s="6"/>
      <c r="AB819" s="5"/>
    </row>
    <row r="820" spans="1:28" ht="12.75" customHeight="1" x14ac:dyDescent="0.2">
      <c r="A820" s="6"/>
      <c r="D820" s="6"/>
      <c r="F820" s="6"/>
      <c r="G820" s="6"/>
      <c r="H820" s="6"/>
      <c r="I820" s="6"/>
      <c r="K820" s="6"/>
      <c r="L820" s="6"/>
      <c r="N820" s="6"/>
      <c r="O820" s="6"/>
      <c r="P820" s="6"/>
      <c r="R820" s="6"/>
      <c r="V820" s="7"/>
      <c r="Z820" s="6"/>
      <c r="AA820" s="6"/>
      <c r="AB820" s="5"/>
    </row>
    <row r="821" spans="1:28" ht="12.75" customHeight="1" x14ac:dyDescent="0.2">
      <c r="A821" s="6"/>
      <c r="D821" s="6"/>
      <c r="F821" s="6"/>
      <c r="G821" s="6"/>
      <c r="H821" s="6"/>
      <c r="I821" s="6"/>
      <c r="K821" s="6"/>
      <c r="L821" s="6"/>
      <c r="N821" s="6"/>
      <c r="O821" s="6"/>
      <c r="P821" s="6"/>
      <c r="R821" s="6"/>
      <c r="V821" s="7"/>
      <c r="Z821" s="6"/>
      <c r="AA821" s="6"/>
      <c r="AB821" s="5"/>
    </row>
    <row r="822" spans="1:28" ht="12.75" customHeight="1" x14ac:dyDescent="0.2">
      <c r="A822" s="6"/>
      <c r="D822" s="6"/>
      <c r="F822" s="6"/>
      <c r="G822" s="6"/>
      <c r="H822" s="6"/>
      <c r="I822" s="6"/>
      <c r="K822" s="6"/>
      <c r="L822" s="6"/>
      <c r="N822" s="6"/>
      <c r="O822" s="6"/>
      <c r="P822" s="6"/>
      <c r="R822" s="6"/>
      <c r="V822" s="7"/>
      <c r="Z822" s="6"/>
      <c r="AA822" s="6"/>
      <c r="AB822" s="5"/>
    </row>
    <row r="823" spans="1:28" ht="12.75" customHeight="1" x14ac:dyDescent="0.2">
      <c r="A823" s="6"/>
    </row>
    <row r="824" spans="1:28" ht="12.75" customHeight="1" x14ac:dyDescent="0.2">
      <c r="A824" s="6"/>
    </row>
    <row r="825" spans="1:28" ht="12.75" customHeight="1" x14ac:dyDescent="0.2">
      <c r="A825" s="6"/>
    </row>
    <row r="826" spans="1:28" ht="12.75" customHeight="1" x14ac:dyDescent="0.2">
      <c r="A826" s="6"/>
    </row>
    <row r="827" spans="1:28" ht="12.75" customHeight="1" x14ac:dyDescent="0.2">
      <c r="A827" s="6"/>
    </row>
    <row r="828" spans="1:28" ht="12.75" customHeight="1" x14ac:dyDescent="0.2">
      <c r="A828" s="6"/>
    </row>
    <row r="829" spans="1:28" ht="12.75" customHeight="1" x14ac:dyDescent="0.2">
      <c r="A829" s="6"/>
    </row>
    <row r="830" spans="1:28" ht="12.75" customHeight="1" x14ac:dyDescent="0.2">
      <c r="A830" s="6"/>
    </row>
    <row r="831" spans="1:28" ht="12.75" customHeight="1" x14ac:dyDescent="0.2">
      <c r="A831" s="6"/>
    </row>
    <row r="832" spans="1:28" ht="12.75" customHeight="1" x14ac:dyDescent="0.2">
      <c r="A832" s="6"/>
    </row>
    <row r="833" spans="1:1" ht="12.75" customHeight="1" x14ac:dyDescent="0.2">
      <c r="A833" s="6"/>
    </row>
    <row r="834" spans="1:1" ht="12.75" customHeight="1" x14ac:dyDescent="0.2">
      <c r="A834" s="6"/>
    </row>
    <row r="835" spans="1:1" ht="12.75" customHeight="1" x14ac:dyDescent="0.2">
      <c r="A835" s="6"/>
    </row>
    <row r="836" spans="1:1" ht="12.75" customHeight="1" x14ac:dyDescent="0.2">
      <c r="A836" s="6"/>
    </row>
    <row r="837" spans="1:1" ht="12.75" customHeight="1" x14ac:dyDescent="0.2">
      <c r="A837" s="6"/>
    </row>
    <row r="838" spans="1:1" ht="12.75" customHeight="1" x14ac:dyDescent="0.2">
      <c r="A838" s="6"/>
    </row>
    <row r="839" spans="1:1" ht="12.75" customHeight="1" x14ac:dyDescent="0.2">
      <c r="A839" s="6"/>
    </row>
    <row r="840" spans="1:1" ht="12.75" customHeight="1" x14ac:dyDescent="0.2">
      <c r="A840" s="6"/>
    </row>
    <row r="841" spans="1:1" ht="12.75" customHeight="1" x14ac:dyDescent="0.2">
      <c r="A841" s="6"/>
    </row>
    <row r="842" spans="1:1" ht="12.75" customHeight="1" x14ac:dyDescent="0.2">
      <c r="A842" s="6"/>
    </row>
    <row r="843" spans="1:1" ht="12.75" customHeight="1" x14ac:dyDescent="0.2">
      <c r="A843" s="6"/>
    </row>
    <row r="844" spans="1:1" ht="12.75" customHeight="1" x14ac:dyDescent="0.2">
      <c r="A844" s="6"/>
    </row>
    <row r="845" spans="1:1" ht="12.75" customHeight="1" x14ac:dyDescent="0.2">
      <c r="A845" s="6"/>
    </row>
    <row r="846" spans="1:1" ht="12.75" customHeight="1" x14ac:dyDescent="0.2">
      <c r="A846" s="6"/>
    </row>
    <row r="847" spans="1:1" ht="12.75" customHeight="1" x14ac:dyDescent="0.2">
      <c r="A847" s="6"/>
    </row>
    <row r="848" spans="1:1" ht="12.75" customHeight="1" x14ac:dyDescent="0.2">
      <c r="A848" s="6"/>
    </row>
    <row r="849" spans="1:1" ht="12.75" customHeight="1" x14ac:dyDescent="0.2">
      <c r="A849" s="6"/>
    </row>
    <row r="850" spans="1:1" ht="12.75" customHeight="1" x14ac:dyDescent="0.2">
      <c r="A850" s="6"/>
    </row>
    <row r="851" spans="1:1" ht="12.75" customHeight="1" x14ac:dyDescent="0.2">
      <c r="A851" s="6"/>
    </row>
    <row r="852" spans="1:1" ht="12.75" customHeight="1" x14ac:dyDescent="0.2">
      <c r="A852" s="6"/>
    </row>
    <row r="853" spans="1:1" ht="12.75" customHeight="1" x14ac:dyDescent="0.2">
      <c r="A853" s="6"/>
    </row>
    <row r="854" spans="1:1" ht="12.75" customHeight="1" x14ac:dyDescent="0.2">
      <c r="A854" s="6"/>
    </row>
    <row r="855" spans="1:1" ht="12.75" customHeight="1" x14ac:dyDescent="0.2">
      <c r="A855" s="6"/>
    </row>
    <row r="856" spans="1:1" ht="12.75" customHeight="1" x14ac:dyDescent="0.2">
      <c r="A856" s="6"/>
    </row>
    <row r="857" spans="1:1" ht="12.75" customHeight="1" x14ac:dyDescent="0.2">
      <c r="A857" s="6"/>
    </row>
    <row r="858" spans="1:1" ht="12.75" customHeight="1" x14ac:dyDescent="0.2">
      <c r="A858" s="6"/>
    </row>
    <row r="859" spans="1:1" ht="12.75" customHeight="1" x14ac:dyDescent="0.2">
      <c r="A859" s="6"/>
    </row>
    <row r="860" spans="1:1" ht="12.75" customHeight="1" x14ac:dyDescent="0.2">
      <c r="A860" s="6"/>
    </row>
    <row r="861" spans="1:1" ht="12.75" customHeight="1" x14ac:dyDescent="0.2">
      <c r="A861" s="6"/>
    </row>
    <row r="862" spans="1:1" ht="12.75" customHeight="1" x14ac:dyDescent="0.2">
      <c r="A862" s="6"/>
    </row>
    <row r="863" spans="1:1" ht="12.75" customHeight="1" x14ac:dyDescent="0.2">
      <c r="A863" s="6"/>
    </row>
    <row r="864" spans="1:1" ht="12.75" customHeight="1" x14ac:dyDescent="0.2">
      <c r="A864" s="6"/>
    </row>
    <row r="865" spans="1:1" ht="12.75" customHeight="1" x14ac:dyDescent="0.2">
      <c r="A865" s="6"/>
    </row>
    <row r="866" spans="1:1" ht="12.75" customHeight="1" x14ac:dyDescent="0.2">
      <c r="A866" s="6"/>
    </row>
    <row r="867" spans="1:1" ht="12.75" customHeight="1" x14ac:dyDescent="0.2">
      <c r="A867" s="6"/>
    </row>
    <row r="868" spans="1:1" ht="12.75" customHeight="1" x14ac:dyDescent="0.2">
      <c r="A868" s="6"/>
    </row>
    <row r="869" spans="1:1" ht="12.75" customHeight="1" x14ac:dyDescent="0.2">
      <c r="A869" s="6"/>
    </row>
    <row r="870" spans="1:1" ht="12.75" customHeight="1" x14ac:dyDescent="0.2">
      <c r="A870" s="6"/>
    </row>
    <row r="871" spans="1:1" ht="12.75" customHeight="1" x14ac:dyDescent="0.2">
      <c r="A871" s="6"/>
    </row>
    <row r="872" spans="1:1" ht="12.75" customHeight="1" x14ac:dyDescent="0.2">
      <c r="A872" s="6"/>
    </row>
    <row r="873" spans="1:1" ht="12.75" customHeight="1" x14ac:dyDescent="0.2">
      <c r="A873" s="6"/>
    </row>
    <row r="874" spans="1:1" ht="12.75" customHeight="1" x14ac:dyDescent="0.2">
      <c r="A874" s="6"/>
    </row>
    <row r="875" spans="1:1" ht="12.75" customHeight="1" x14ac:dyDescent="0.2">
      <c r="A875" s="6"/>
    </row>
    <row r="876" spans="1:1" ht="12.75" customHeight="1" x14ac:dyDescent="0.2">
      <c r="A876" s="6"/>
    </row>
    <row r="877" spans="1:1" ht="12.75" customHeight="1" x14ac:dyDescent="0.2">
      <c r="A877" s="6"/>
    </row>
    <row r="878" spans="1:1" ht="12.75" customHeight="1" x14ac:dyDescent="0.2">
      <c r="A878" s="6"/>
    </row>
    <row r="879" spans="1:1" ht="12.75" customHeight="1" x14ac:dyDescent="0.2">
      <c r="A879" s="6"/>
    </row>
    <row r="880" spans="1:1" ht="12.75" customHeight="1" x14ac:dyDescent="0.2">
      <c r="A880" s="6"/>
    </row>
    <row r="881" spans="1:1" ht="12.75" customHeight="1" x14ac:dyDescent="0.2">
      <c r="A881" s="6"/>
    </row>
    <row r="882" spans="1:1" ht="12.75" customHeight="1" x14ac:dyDescent="0.2">
      <c r="A882" s="6"/>
    </row>
    <row r="883" spans="1:1" ht="12.75" customHeight="1" x14ac:dyDescent="0.2">
      <c r="A883" s="6"/>
    </row>
    <row r="884" spans="1:1" ht="12.75" customHeight="1" x14ac:dyDescent="0.2">
      <c r="A884" s="6"/>
    </row>
    <row r="885" spans="1:1" ht="12.75" customHeight="1" x14ac:dyDescent="0.2">
      <c r="A885" s="6"/>
    </row>
    <row r="886" spans="1:1" ht="12.75" customHeight="1" x14ac:dyDescent="0.2">
      <c r="A886" s="6"/>
    </row>
    <row r="887" spans="1:1" ht="12.75" customHeight="1" x14ac:dyDescent="0.2">
      <c r="A887" s="6"/>
    </row>
    <row r="888" spans="1:1" ht="12.75" customHeight="1" x14ac:dyDescent="0.2">
      <c r="A888" s="6"/>
    </row>
    <row r="889" spans="1:1" ht="12.75" customHeight="1" x14ac:dyDescent="0.2">
      <c r="A889" s="6"/>
    </row>
    <row r="890" spans="1:1" ht="12.75" customHeight="1" x14ac:dyDescent="0.2">
      <c r="A890" s="6"/>
    </row>
    <row r="891" spans="1:1" ht="12.75" customHeight="1" x14ac:dyDescent="0.2">
      <c r="A891" s="6"/>
    </row>
    <row r="892" spans="1:1" ht="12.75" customHeight="1" x14ac:dyDescent="0.2">
      <c r="A892" s="6"/>
    </row>
    <row r="893" spans="1:1" ht="12.75" customHeight="1" x14ac:dyDescent="0.2">
      <c r="A893" s="6"/>
    </row>
  </sheetData>
  <pageMargins left="0.16458333333333333" right="0.16458333333333333" top="0.16458333333333333" bottom="0.16458333333333333" header="0" footer="0"/>
  <pageSetup paperSize="5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REPORT">
                <anchor moveWithCells="1" sizeWithCells="1">
                  <from>
                    <xdr:col>2</xdr:col>
                    <xdr:colOff>9525</xdr:colOff>
                    <xdr:row>1</xdr:row>
                    <xdr:rowOff>28575</xdr:rowOff>
                  </from>
                  <to>
                    <xdr:col>3</xdr:col>
                    <xdr:colOff>1076325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_DATA">
                <anchor moveWithCells="1" sizeWithCells="1">
                  <from>
                    <xdr:col>0</xdr:col>
                    <xdr:colOff>685800</xdr:colOff>
                    <xdr:row>1</xdr:row>
                    <xdr:rowOff>47625</xdr:rowOff>
                  </from>
                  <to>
                    <xdr:col>1</xdr:col>
                    <xdr:colOff>38100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5AB8-4E33-4818-A36B-EFD6E4AD6401}">
  <sheetPr codeName="Hoja2"/>
  <dimension ref="A1:J824"/>
  <sheetViews>
    <sheetView workbookViewId="0">
      <selection sqref="A1:J1048576"/>
    </sheetView>
  </sheetViews>
  <sheetFormatPr baseColWidth="10" defaultColWidth="10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</cols>
  <sheetData>
    <row r="1" spans="1:10" s="2" customFormat="1" x14ac:dyDescent="0.2">
      <c r="A1" s="3" t="s">
        <v>88</v>
      </c>
      <c r="B1" s="3" t="s">
        <v>89</v>
      </c>
      <c r="C1" s="3" t="s">
        <v>90</v>
      </c>
      <c r="D1" s="3" t="s">
        <v>95</v>
      </c>
      <c r="E1" s="3" t="s">
        <v>96</v>
      </c>
      <c r="F1" s="3" t="s">
        <v>101</v>
      </c>
      <c r="G1" s="3" t="s">
        <v>102</v>
      </c>
      <c r="H1" s="3" t="s">
        <v>103</v>
      </c>
      <c r="I1" s="3" t="s">
        <v>0</v>
      </c>
      <c r="J1" s="3" t="s">
        <v>441</v>
      </c>
    </row>
    <row r="2" spans="1:10" x14ac:dyDescent="0.2">
      <c r="A2" s="1">
        <v>1079</v>
      </c>
      <c r="B2" s="1" t="s">
        <v>104</v>
      </c>
      <c r="C2" s="1" t="s">
        <v>105</v>
      </c>
      <c r="E2" s="1" t="s">
        <v>105</v>
      </c>
      <c r="F2" s="1">
        <v>2295596</v>
      </c>
      <c r="H2" s="4">
        <v>44978</v>
      </c>
      <c r="I2" s="1" t="s">
        <v>83</v>
      </c>
      <c r="J2" s="1">
        <v>200</v>
      </c>
    </row>
    <row r="3" spans="1:10" x14ac:dyDescent="0.2">
      <c r="A3" s="1">
        <v>1078</v>
      </c>
      <c r="B3" s="1" t="s">
        <v>104</v>
      </c>
      <c r="C3" s="1" t="s">
        <v>105</v>
      </c>
      <c r="E3" s="1" t="s">
        <v>105</v>
      </c>
      <c r="F3" s="1">
        <v>2295596</v>
      </c>
      <c r="H3" s="4">
        <v>44978</v>
      </c>
      <c r="I3" s="1" t="s">
        <v>83</v>
      </c>
      <c r="J3" s="1">
        <v>300</v>
      </c>
    </row>
    <row r="4" spans="1:10" x14ac:dyDescent="0.2">
      <c r="A4" s="1">
        <v>1076</v>
      </c>
      <c r="B4" s="1" t="s">
        <v>104</v>
      </c>
      <c r="C4" s="1" t="s">
        <v>105</v>
      </c>
      <c r="F4" s="1">
        <v>2295596</v>
      </c>
      <c r="H4" s="4">
        <v>44978</v>
      </c>
      <c r="I4" s="1" t="s">
        <v>83</v>
      </c>
      <c r="J4" s="1">
        <v>107</v>
      </c>
    </row>
    <row r="5" spans="1:10" x14ac:dyDescent="0.2">
      <c r="A5" s="1">
        <v>1074</v>
      </c>
      <c r="B5" s="1" t="s">
        <v>106</v>
      </c>
      <c r="C5" s="1" t="s">
        <v>107</v>
      </c>
      <c r="E5" s="1" t="s">
        <v>107</v>
      </c>
      <c r="F5" s="1">
        <v>2294842</v>
      </c>
      <c r="H5" s="4">
        <v>44974</v>
      </c>
      <c r="I5" s="1" t="s">
        <v>11</v>
      </c>
      <c r="J5" s="1">
        <v>107</v>
      </c>
    </row>
    <row r="6" spans="1:10" x14ac:dyDescent="0.2">
      <c r="A6" s="1">
        <v>1074</v>
      </c>
      <c r="B6" s="1" t="s">
        <v>106</v>
      </c>
      <c r="C6" s="1" t="s">
        <v>107</v>
      </c>
      <c r="E6" s="1" t="s">
        <v>107</v>
      </c>
      <c r="F6" s="1">
        <v>2294842</v>
      </c>
      <c r="H6" s="4">
        <v>44974</v>
      </c>
      <c r="I6" s="1" t="s">
        <v>19</v>
      </c>
      <c r="J6" s="1">
        <v>107</v>
      </c>
    </row>
    <row r="7" spans="1:10" x14ac:dyDescent="0.2">
      <c r="A7" s="1">
        <v>1073</v>
      </c>
      <c r="B7" s="1" t="s">
        <v>108</v>
      </c>
      <c r="C7" s="1" t="s">
        <v>109</v>
      </c>
      <c r="E7" s="1" t="s">
        <v>109</v>
      </c>
      <c r="F7" s="1">
        <v>2294455</v>
      </c>
      <c r="H7" s="4">
        <v>44973</v>
      </c>
      <c r="I7" s="1" t="s">
        <v>5</v>
      </c>
      <c r="J7" s="1">
        <v>200</v>
      </c>
    </row>
    <row r="8" spans="1:10" x14ac:dyDescent="0.2">
      <c r="A8" s="1">
        <v>1073</v>
      </c>
      <c r="B8" s="1" t="s">
        <v>108</v>
      </c>
      <c r="C8" s="1" t="s">
        <v>109</v>
      </c>
      <c r="E8" s="1" t="s">
        <v>109</v>
      </c>
      <c r="F8" s="1">
        <v>2294455</v>
      </c>
      <c r="H8" s="4">
        <v>44973</v>
      </c>
      <c r="I8" s="1" t="s">
        <v>6</v>
      </c>
      <c r="J8" s="1">
        <v>500</v>
      </c>
    </row>
    <row r="9" spans="1:10" x14ac:dyDescent="0.2">
      <c r="A9" s="1">
        <v>1070</v>
      </c>
      <c r="B9" s="1" t="s">
        <v>110</v>
      </c>
      <c r="C9" s="1" t="s">
        <v>111</v>
      </c>
      <c r="F9" s="1">
        <v>2294586</v>
      </c>
      <c r="H9" s="4">
        <v>44519</v>
      </c>
      <c r="I9" s="1" t="s">
        <v>1</v>
      </c>
      <c r="J9" s="1">
        <v>1250</v>
      </c>
    </row>
    <row r="10" spans="1:10" x14ac:dyDescent="0.2">
      <c r="A10" s="1">
        <v>1070</v>
      </c>
      <c r="B10" s="1" t="s">
        <v>110</v>
      </c>
      <c r="C10" s="1" t="s">
        <v>111</v>
      </c>
      <c r="F10" s="1">
        <v>2294586</v>
      </c>
      <c r="H10" s="4">
        <v>44664</v>
      </c>
      <c r="I10" s="1" t="s">
        <v>11</v>
      </c>
      <c r="J10" s="1">
        <v>1000</v>
      </c>
    </row>
    <row r="11" spans="1:10" x14ac:dyDescent="0.2">
      <c r="A11" s="1">
        <v>1069</v>
      </c>
      <c r="B11" s="1" t="s">
        <v>112</v>
      </c>
      <c r="C11" s="1" t="s">
        <v>113</v>
      </c>
      <c r="E11" s="1" t="s">
        <v>113</v>
      </c>
      <c r="F11" s="1">
        <v>2294336</v>
      </c>
      <c r="H11" s="4">
        <v>44972</v>
      </c>
      <c r="I11" s="1" t="s">
        <v>6</v>
      </c>
      <c r="J11" s="1">
        <v>504</v>
      </c>
    </row>
    <row r="12" spans="1:10" x14ac:dyDescent="0.2">
      <c r="A12" s="1">
        <v>1066</v>
      </c>
      <c r="B12" s="1" t="s">
        <v>114</v>
      </c>
      <c r="C12" s="1" t="s">
        <v>115</v>
      </c>
      <c r="E12" s="1" t="s">
        <v>115</v>
      </c>
      <c r="F12" s="1">
        <v>2295156</v>
      </c>
      <c r="H12" s="4">
        <v>44972</v>
      </c>
      <c r="I12" s="1" t="s">
        <v>7</v>
      </c>
      <c r="J12" s="1">
        <v>300</v>
      </c>
    </row>
    <row r="13" spans="1:10" x14ac:dyDescent="0.2">
      <c r="A13" s="1">
        <v>1066</v>
      </c>
      <c r="B13" s="1" t="s">
        <v>114</v>
      </c>
      <c r="C13" s="1" t="s">
        <v>115</v>
      </c>
      <c r="E13" s="1" t="s">
        <v>115</v>
      </c>
      <c r="F13" s="1">
        <v>2295156</v>
      </c>
      <c r="H13" s="4">
        <v>44972</v>
      </c>
      <c r="I13" s="1" t="s">
        <v>11</v>
      </c>
      <c r="J13" s="1">
        <v>1000</v>
      </c>
    </row>
    <row r="14" spans="1:10" x14ac:dyDescent="0.2">
      <c r="A14" s="1">
        <v>1064</v>
      </c>
      <c r="B14" s="1" t="s">
        <v>116</v>
      </c>
      <c r="C14" s="1" t="s">
        <v>117</v>
      </c>
      <c r="E14" s="1" t="s">
        <v>118</v>
      </c>
      <c r="F14" s="1">
        <v>2295365</v>
      </c>
      <c r="H14" s="4">
        <v>44931</v>
      </c>
      <c r="I14" s="1" t="s">
        <v>1</v>
      </c>
      <c r="J14" s="1">
        <v>500</v>
      </c>
    </row>
    <row r="15" spans="1:10" x14ac:dyDescent="0.2">
      <c r="A15" s="1">
        <v>1063</v>
      </c>
      <c r="B15" s="1" t="s">
        <v>119</v>
      </c>
      <c r="C15" s="1" t="s">
        <v>120</v>
      </c>
      <c r="E15" s="1" t="s">
        <v>120</v>
      </c>
      <c r="F15" s="1">
        <v>2294694</v>
      </c>
      <c r="H15" s="4">
        <v>44970</v>
      </c>
      <c r="I15" s="1" t="s">
        <v>4</v>
      </c>
      <c r="J15" s="1">
        <v>200</v>
      </c>
    </row>
    <row r="16" spans="1:10" x14ac:dyDescent="0.2">
      <c r="A16" s="1">
        <v>1061</v>
      </c>
      <c r="B16" s="1" t="s">
        <v>119</v>
      </c>
      <c r="C16" s="1" t="s">
        <v>120</v>
      </c>
      <c r="E16" s="1" t="s">
        <v>120</v>
      </c>
      <c r="F16" s="1">
        <v>2294694</v>
      </c>
      <c r="H16" s="4">
        <v>44970</v>
      </c>
      <c r="I16" s="1" t="s">
        <v>1</v>
      </c>
      <c r="J16" s="1">
        <v>300</v>
      </c>
    </row>
    <row r="17" spans="1:10" x14ac:dyDescent="0.2">
      <c r="A17" s="1">
        <v>1061</v>
      </c>
      <c r="B17" s="1" t="s">
        <v>119</v>
      </c>
      <c r="C17" s="1" t="s">
        <v>120</v>
      </c>
      <c r="E17" s="1" t="s">
        <v>120</v>
      </c>
      <c r="F17" s="1">
        <v>2294694</v>
      </c>
      <c r="H17" s="4">
        <v>44970</v>
      </c>
      <c r="I17" s="1" t="s">
        <v>7</v>
      </c>
      <c r="J17" s="1">
        <v>150</v>
      </c>
    </row>
    <row r="18" spans="1:10" x14ac:dyDescent="0.2">
      <c r="A18" s="1">
        <v>1059</v>
      </c>
      <c r="B18" s="1" t="s">
        <v>121</v>
      </c>
      <c r="C18" s="1" t="s">
        <v>122</v>
      </c>
      <c r="E18" s="1" t="s">
        <v>122</v>
      </c>
      <c r="F18" s="1">
        <v>2294787</v>
      </c>
      <c r="H18" s="4">
        <v>44967</v>
      </c>
      <c r="I18" s="1" t="s">
        <v>4</v>
      </c>
      <c r="J18" s="1">
        <v>300</v>
      </c>
    </row>
    <row r="19" spans="1:10" x14ac:dyDescent="0.2">
      <c r="A19" s="1">
        <v>1057</v>
      </c>
      <c r="B19" s="1" t="s">
        <v>106</v>
      </c>
      <c r="C19" s="1" t="s">
        <v>107</v>
      </c>
      <c r="E19" s="1" t="s">
        <v>107</v>
      </c>
      <c r="F19" s="1">
        <v>2294842</v>
      </c>
      <c r="H19" s="4">
        <v>44967</v>
      </c>
      <c r="I19" s="1" t="s">
        <v>11</v>
      </c>
      <c r="J19" s="1">
        <v>200</v>
      </c>
    </row>
    <row r="20" spans="1:10" x14ac:dyDescent="0.2">
      <c r="A20" s="1">
        <v>1057</v>
      </c>
      <c r="B20" s="1" t="s">
        <v>106</v>
      </c>
      <c r="C20" s="1" t="s">
        <v>107</v>
      </c>
      <c r="E20" s="1" t="s">
        <v>107</v>
      </c>
      <c r="F20" s="1">
        <v>2294842</v>
      </c>
      <c r="H20" s="4">
        <v>44967</v>
      </c>
      <c r="I20" s="1" t="s">
        <v>19</v>
      </c>
      <c r="J20" s="1">
        <v>150</v>
      </c>
    </row>
    <row r="21" spans="1:10" x14ac:dyDescent="0.2">
      <c r="A21" s="1">
        <v>1057</v>
      </c>
      <c r="B21" s="1" t="s">
        <v>106</v>
      </c>
      <c r="C21" s="1" t="s">
        <v>107</v>
      </c>
      <c r="E21" s="1" t="s">
        <v>107</v>
      </c>
      <c r="F21" s="1">
        <v>2294842</v>
      </c>
      <c r="H21" s="4">
        <v>44967</v>
      </c>
      <c r="I21" s="1" t="s">
        <v>27</v>
      </c>
      <c r="J21" s="1">
        <v>200</v>
      </c>
    </row>
    <row r="22" spans="1:10" x14ac:dyDescent="0.2">
      <c r="A22" s="1">
        <v>1056</v>
      </c>
      <c r="B22" s="1" t="s">
        <v>123</v>
      </c>
      <c r="C22" s="1" t="s">
        <v>124</v>
      </c>
      <c r="F22" s="1">
        <v>2295539</v>
      </c>
      <c r="H22" s="4">
        <v>44967</v>
      </c>
      <c r="I22" s="1" t="s">
        <v>1</v>
      </c>
      <c r="J22" s="1">
        <v>100</v>
      </c>
    </row>
    <row r="23" spans="1:10" x14ac:dyDescent="0.2">
      <c r="A23" s="1">
        <v>1056</v>
      </c>
      <c r="B23" s="1" t="s">
        <v>123</v>
      </c>
      <c r="C23" s="1" t="s">
        <v>124</v>
      </c>
      <c r="F23" s="1">
        <v>2295539</v>
      </c>
      <c r="H23" s="4">
        <v>44967</v>
      </c>
      <c r="I23" s="1" t="s">
        <v>42</v>
      </c>
      <c r="J23" s="1">
        <v>500</v>
      </c>
    </row>
    <row r="24" spans="1:10" x14ac:dyDescent="0.2">
      <c r="A24" s="1">
        <v>1054</v>
      </c>
      <c r="B24" s="1" t="s">
        <v>125</v>
      </c>
      <c r="C24" s="1" t="s">
        <v>126</v>
      </c>
      <c r="F24" s="1">
        <v>2295540</v>
      </c>
      <c r="H24" s="4">
        <v>44967</v>
      </c>
      <c r="I24" s="1" t="s">
        <v>42</v>
      </c>
      <c r="J24" s="1">
        <v>165</v>
      </c>
    </row>
    <row r="25" spans="1:10" x14ac:dyDescent="0.2">
      <c r="A25" s="1">
        <v>1054</v>
      </c>
      <c r="B25" s="1" t="s">
        <v>125</v>
      </c>
      <c r="C25" s="1" t="s">
        <v>126</v>
      </c>
      <c r="F25" s="1">
        <v>2295540</v>
      </c>
      <c r="H25" s="4">
        <v>44967</v>
      </c>
      <c r="I25" s="1" t="s">
        <v>1</v>
      </c>
      <c r="J25" s="1">
        <v>300</v>
      </c>
    </row>
    <row r="26" spans="1:10" x14ac:dyDescent="0.2">
      <c r="A26" s="1">
        <v>1052</v>
      </c>
      <c r="B26" s="1" t="s">
        <v>127</v>
      </c>
      <c r="C26" s="1" t="s">
        <v>128</v>
      </c>
      <c r="E26" s="1" t="s">
        <v>128</v>
      </c>
      <c r="F26" s="1">
        <v>2293757</v>
      </c>
      <c r="H26" s="4">
        <v>44966</v>
      </c>
      <c r="I26" s="1" t="s">
        <v>7</v>
      </c>
      <c r="J26" s="1">
        <v>300</v>
      </c>
    </row>
    <row r="27" spans="1:10" x14ac:dyDescent="0.2">
      <c r="A27" s="1">
        <v>1052</v>
      </c>
      <c r="B27" s="1" t="s">
        <v>127</v>
      </c>
      <c r="C27" s="1" t="s">
        <v>128</v>
      </c>
      <c r="E27" s="1" t="s">
        <v>128</v>
      </c>
      <c r="F27" s="1">
        <v>2293757</v>
      </c>
      <c r="H27" s="4">
        <v>44966</v>
      </c>
      <c r="I27" s="1" t="s">
        <v>1</v>
      </c>
      <c r="J27" s="1">
        <v>165</v>
      </c>
    </row>
    <row r="28" spans="1:10" x14ac:dyDescent="0.2">
      <c r="A28" s="1">
        <v>1050</v>
      </c>
      <c r="C28" s="1" t="s">
        <v>129</v>
      </c>
      <c r="D28" s="1">
        <v>678</v>
      </c>
      <c r="F28" s="1">
        <v>2295525</v>
      </c>
      <c r="H28" s="4">
        <v>44966</v>
      </c>
      <c r="I28" s="1" t="s">
        <v>13</v>
      </c>
      <c r="J28" s="1">
        <v>300</v>
      </c>
    </row>
    <row r="29" spans="1:10" x14ac:dyDescent="0.2">
      <c r="A29" s="1">
        <v>1050</v>
      </c>
      <c r="C29" s="1" t="s">
        <v>129</v>
      </c>
      <c r="D29" s="1">
        <v>678</v>
      </c>
      <c r="F29" s="1">
        <v>2295525</v>
      </c>
      <c r="H29" s="4">
        <v>44966</v>
      </c>
      <c r="I29" s="1" t="s">
        <v>1</v>
      </c>
      <c r="J29" s="1">
        <v>200</v>
      </c>
    </row>
    <row r="30" spans="1:10" x14ac:dyDescent="0.2">
      <c r="A30" s="1">
        <v>1050</v>
      </c>
      <c r="C30" s="1" t="s">
        <v>129</v>
      </c>
      <c r="D30" s="1">
        <v>678</v>
      </c>
      <c r="F30" s="1">
        <v>2295525</v>
      </c>
      <c r="H30" s="4">
        <v>44966</v>
      </c>
      <c r="I30" s="1" t="s">
        <v>14</v>
      </c>
      <c r="J30" s="1">
        <v>500</v>
      </c>
    </row>
    <row r="31" spans="1:10" x14ac:dyDescent="0.2">
      <c r="A31" s="1">
        <v>1050</v>
      </c>
      <c r="C31" s="1" t="s">
        <v>129</v>
      </c>
      <c r="D31" s="1">
        <v>678</v>
      </c>
      <c r="F31" s="1">
        <v>2295525</v>
      </c>
      <c r="H31" s="4">
        <v>44966</v>
      </c>
      <c r="I31" s="1" t="s">
        <v>12</v>
      </c>
      <c r="J31" s="1">
        <v>0.75</v>
      </c>
    </row>
    <row r="32" spans="1:10" x14ac:dyDescent="0.2">
      <c r="A32" s="1">
        <v>1050</v>
      </c>
      <c r="C32" s="1" t="s">
        <v>129</v>
      </c>
      <c r="D32" s="1">
        <v>678</v>
      </c>
      <c r="F32" s="1">
        <v>2295525</v>
      </c>
      <c r="H32" s="4">
        <v>44966</v>
      </c>
      <c r="I32" s="1" t="s">
        <v>11</v>
      </c>
      <c r="J32" s="1">
        <v>100</v>
      </c>
    </row>
    <row r="33" spans="1:10" x14ac:dyDescent="0.2">
      <c r="A33" s="1">
        <v>1049</v>
      </c>
      <c r="B33" s="1" t="s">
        <v>130</v>
      </c>
      <c r="C33" s="1" t="s">
        <v>131</v>
      </c>
      <c r="F33" s="1">
        <v>2294769</v>
      </c>
      <c r="H33" s="4">
        <v>44965</v>
      </c>
      <c r="I33" s="1" t="s">
        <v>66</v>
      </c>
      <c r="J33" s="1">
        <v>300</v>
      </c>
    </row>
    <row r="34" spans="1:10" x14ac:dyDescent="0.2">
      <c r="A34" s="1">
        <v>1049</v>
      </c>
      <c r="B34" s="1" t="s">
        <v>130</v>
      </c>
      <c r="C34" s="1" t="s">
        <v>131</v>
      </c>
      <c r="F34" s="1">
        <v>2294769</v>
      </c>
      <c r="H34" s="4">
        <v>44965</v>
      </c>
      <c r="I34" s="1" t="s">
        <v>6</v>
      </c>
      <c r="J34" s="1">
        <v>300</v>
      </c>
    </row>
    <row r="35" spans="1:10" x14ac:dyDescent="0.2">
      <c r="A35" s="1">
        <v>1048</v>
      </c>
      <c r="B35" s="1" t="s">
        <v>132</v>
      </c>
      <c r="C35" s="1" t="s">
        <v>133</v>
      </c>
      <c r="E35" s="1" t="s">
        <v>133</v>
      </c>
      <c r="F35" s="1">
        <v>2295059</v>
      </c>
      <c r="H35" s="4">
        <v>44965</v>
      </c>
      <c r="I35" s="1" t="s">
        <v>7</v>
      </c>
      <c r="J35" s="1">
        <v>1000</v>
      </c>
    </row>
    <row r="36" spans="1:10" x14ac:dyDescent="0.2">
      <c r="A36" s="1">
        <v>1048</v>
      </c>
      <c r="B36" s="1" t="s">
        <v>132</v>
      </c>
      <c r="C36" s="1" t="s">
        <v>133</v>
      </c>
      <c r="E36" s="1" t="s">
        <v>133</v>
      </c>
      <c r="F36" s="1">
        <v>2295059</v>
      </c>
      <c r="H36" s="4">
        <v>44965</v>
      </c>
      <c r="I36" s="1" t="s">
        <v>1</v>
      </c>
      <c r="J36" s="1">
        <v>75</v>
      </c>
    </row>
    <row r="37" spans="1:10" x14ac:dyDescent="0.2">
      <c r="A37" s="1">
        <v>1046</v>
      </c>
      <c r="B37" s="1" t="s">
        <v>123</v>
      </c>
      <c r="C37" s="1" t="s">
        <v>124</v>
      </c>
      <c r="F37" s="1">
        <v>2295539</v>
      </c>
      <c r="H37" s="4">
        <v>44965</v>
      </c>
      <c r="I37" s="1" t="s">
        <v>42</v>
      </c>
      <c r="J37" s="1">
        <v>200</v>
      </c>
    </row>
    <row r="38" spans="1:10" x14ac:dyDescent="0.2">
      <c r="A38" s="1">
        <v>1046</v>
      </c>
      <c r="B38" s="1" t="s">
        <v>123</v>
      </c>
      <c r="C38" s="1" t="s">
        <v>124</v>
      </c>
      <c r="F38" s="1">
        <v>2295539</v>
      </c>
      <c r="H38" s="4">
        <v>44965</v>
      </c>
      <c r="I38" s="1" t="s">
        <v>1</v>
      </c>
      <c r="J38" s="1">
        <v>300</v>
      </c>
    </row>
    <row r="39" spans="1:10" x14ac:dyDescent="0.2">
      <c r="A39" s="1">
        <v>1045</v>
      </c>
      <c r="B39" s="1" t="s">
        <v>134</v>
      </c>
      <c r="C39" s="1" t="s">
        <v>135</v>
      </c>
      <c r="F39" s="1">
        <v>2295541</v>
      </c>
      <c r="H39" s="4">
        <v>44965</v>
      </c>
      <c r="I39" s="1" t="s">
        <v>1</v>
      </c>
      <c r="J39" s="1">
        <v>300</v>
      </c>
    </row>
    <row r="40" spans="1:10" x14ac:dyDescent="0.2">
      <c r="A40" s="1">
        <v>1045</v>
      </c>
      <c r="B40" s="1" t="s">
        <v>134</v>
      </c>
      <c r="C40" s="1" t="s">
        <v>135</v>
      </c>
      <c r="F40" s="1">
        <v>2295541</v>
      </c>
      <c r="H40" s="4">
        <v>44965</v>
      </c>
      <c r="I40" s="1" t="s">
        <v>42</v>
      </c>
      <c r="J40" s="1">
        <v>165</v>
      </c>
    </row>
    <row r="41" spans="1:10" x14ac:dyDescent="0.2">
      <c r="A41" s="1">
        <v>1044</v>
      </c>
      <c r="B41" s="1" t="s">
        <v>106</v>
      </c>
      <c r="C41" s="1" t="s">
        <v>107</v>
      </c>
      <c r="E41" s="1" t="s">
        <v>107</v>
      </c>
      <c r="F41" s="1">
        <v>2294842</v>
      </c>
      <c r="H41" s="4">
        <v>44963</v>
      </c>
      <c r="I41" s="1" t="s">
        <v>11</v>
      </c>
      <c r="J41" s="1">
        <v>165</v>
      </c>
    </row>
    <row r="42" spans="1:10" x14ac:dyDescent="0.2">
      <c r="A42" s="1">
        <v>1044</v>
      </c>
      <c r="B42" s="1" t="s">
        <v>106</v>
      </c>
      <c r="C42" s="1" t="s">
        <v>107</v>
      </c>
      <c r="E42" s="1" t="s">
        <v>107</v>
      </c>
      <c r="F42" s="1">
        <v>2294842</v>
      </c>
      <c r="H42" s="4">
        <v>44963</v>
      </c>
      <c r="I42" s="1" t="s">
        <v>19</v>
      </c>
      <c r="J42" s="1">
        <v>300</v>
      </c>
    </row>
    <row r="43" spans="1:10" x14ac:dyDescent="0.2">
      <c r="A43" s="1">
        <v>1043</v>
      </c>
      <c r="B43" s="1" t="s">
        <v>136</v>
      </c>
      <c r="C43" s="1" t="s">
        <v>137</v>
      </c>
      <c r="D43" s="1">
        <v>5205551212</v>
      </c>
      <c r="E43" s="1" t="s">
        <v>137</v>
      </c>
      <c r="F43" s="1">
        <v>2295566</v>
      </c>
      <c r="H43" s="4">
        <v>44963</v>
      </c>
      <c r="I43" s="1" t="s">
        <v>5</v>
      </c>
      <c r="J43" s="1">
        <v>500</v>
      </c>
    </row>
    <row r="44" spans="1:10" x14ac:dyDescent="0.2">
      <c r="A44" s="1">
        <v>1043</v>
      </c>
      <c r="B44" s="1" t="s">
        <v>136</v>
      </c>
      <c r="C44" s="1" t="s">
        <v>137</v>
      </c>
      <c r="D44" s="1">
        <v>5205551212</v>
      </c>
      <c r="E44" s="1" t="s">
        <v>137</v>
      </c>
      <c r="F44" s="1">
        <v>2295566</v>
      </c>
      <c r="H44" s="4">
        <v>44963</v>
      </c>
      <c r="I44" s="1" t="s">
        <v>6</v>
      </c>
      <c r="J44" s="1">
        <v>200</v>
      </c>
    </row>
    <row r="45" spans="1:10" x14ac:dyDescent="0.2">
      <c r="A45" s="1">
        <v>1042</v>
      </c>
      <c r="B45" s="1" t="s">
        <v>130</v>
      </c>
      <c r="C45" s="1" t="s">
        <v>131</v>
      </c>
      <c r="F45" s="1">
        <v>2294769</v>
      </c>
      <c r="H45" s="4">
        <v>44963</v>
      </c>
      <c r="I45" s="1" t="s">
        <v>1</v>
      </c>
      <c r="J45" s="1">
        <v>1000</v>
      </c>
    </row>
    <row r="46" spans="1:10" x14ac:dyDescent="0.2">
      <c r="A46" s="1">
        <v>1042</v>
      </c>
      <c r="B46" s="1" t="s">
        <v>130</v>
      </c>
      <c r="C46" s="1" t="s">
        <v>131</v>
      </c>
      <c r="F46" s="1">
        <v>2294769</v>
      </c>
      <c r="H46" s="4">
        <v>44963</v>
      </c>
      <c r="I46" s="1" t="s">
        <v>19</v>
      </c>
      <c r="J46" s="1">
        <v>1250</v>
      </c>
    </row>
    <row r="47" spans="1:10" x14ac:dyDescent="0.2">
      <c r="A47" s="1">
        <v>1041</v>
      </c>
      <c r="B47" s="1" t="s">
        <v>138</v>
      </c>
      <c r="C47" s="1" t="s">
        <v>139</v>
      </c>
      <c r="F47" s="1">
        <v>2295543</v>
      </c>
      <c r="H47" s="4">
        <v>44963</v>
      </c>
      <c r="I47" s="1" t="s">
        <v>74</v>
      </c>
      <c r="J47" s="1">
        <v>300</v>
      </c>
    </row>
    <row r="48" spans="1:10" x14ac:dyDescent="0.2">
      <c r="A48" s="1">
        <v>1041</v>
      </c>
      <c r="B48" s="1" t="s">
        <v>138</v>
      </c>
      <c r="C48" s="1" t="s">
        <v>139</v>
      </c>
      <c r="F48" s="1">
        <v>2295543</v>
      </c>
      <c r="H48" s="4">
        <v>44963</v>
      </c>
      <c r="I48" s="1" t="s">
        <v>7</v>
      </c>
      <c r="J48" s="1">
        <v>200</v>
      </c>
    </row>
    <row r="49" spans="1:10" x14ac:dyDescent="0.2">
      <c r="A49" s="1">
        <v>1038</v>
      </c>
      <c r="B49" s="1" t="s">
        <v>140</v>
      </c>
      <c r="C49" s="1" t="s">
        <v>141</v>
      </c>
      <c r="E49" s="1" t="s">
        <v>141</v>
      </c>
      <c r="F49" s="1">
        <v>2295202</v>
      </c>
      <c r="H49" s="4">
        <v>44960</v>
      </c>
      <c r="I49" s="1" t="s">
        <v>1</v>
      </c>
      <c r="J49" s="1">
        <v>200</v>
      </c>
    </row>
    <row r="50" spans="1:10" x14ac:dyDescent="0.2">
      <c r="A50" s="1">
        <v>1038</v>
      </c>
      <c r="B50" s="1" t="s">
        <v>140</v>
      </c>
      <c r="C50" s="1" t="s">
        <v>141</v>
      </c>
      <c r="E50" s="1" t="s">
        <v>141</v>
      </c>
      <c r="F50" s="1">
        <v>2295202</v>
      </c>
      <c r="H50" s="4">
        <v>44960</v>
      </c>
      <c r="I50" s="1" t="s">
        <v>12</v>
      </c>
      <c r="J50" s="1">
        <v>10</v>
      </c>
    </row>
    <row r="51" spans="1:10" x14ac:dyDescent="0.2">
      <c r="A51" s="1">
        <v>1038</v>
      </c>
      <c r="B51" s="1" t="s">
        <v>140</v>
      </c>
      <c r="C51" s="1" t="s">
        <v>141</v>
      </c>
      <c r="E51" s="1" t="s">
        <v>141</v>
      </c>
      <c r="F51" s="1">
        <v>2295202</v>
      </c>
      <c r="H51" s="4">
        <v>44960</v>
      </c>
      <c r="I51" s="1" t="s">
        <v>19</v>
      </c>
      <c r="J51" s="1">
        <v>200</v>
      </c>
    </row>
    <row r="52" spans="1:10" x14ac:dyDescent="0.2">
      <c r="A52" s="1">
        <v>1037</v>
      </c>
      <c r="B52" s="1" t="s">
        <v>142</v>
      </c>
      <c r="C52" s="1" t="s">
        <v>143</v>
      </c>
      <c r="E52" s="1" t="s">
        <v>143</v>
      </c>
      <c r="F52" s="1">
        <v>2293735</v>
      </c>
      <c r="H52" s="4">
        <v>44959</v>
      </c>
      <c r="I52" s="1" t="s">
        <v>1</v>
      </c>
      <c r="J52" s="1">
        <v>0.75</v>
      </c>
    </row>
    <row r="53" spans="1:10" x14ac:dyDescent="0.2">
      <c r="A53" s="1">
        <v>1037</v>
      </c>
      <c r="B53" s="1" t="s">
        <v>142</v>
      </c>
      <c r="C53" s="1" t="s">
        <v>143</v>
      </c>
      <c r="E53" s="1" t="s">
        <v>143</v>
      </c>
      <c r="F53" s="1">
        <v>2293735</v>
      </c>
      <c r="H53" s="4">
        <v>44959</v>
      </c>
      <c r="I53" s="1" t="s">
        <v>7</v>
      </c>
      <c r="J53" s="1">
        <v>300</v>
      </c>
    </row>
    <row r="54" spans="1:10" x14ac:dyDescent="0.2">
      <c r="A54" s="1">
        <v>1035</v>
      </c>
      <c r="B54" s="1" t="s">
        <v>110</v>
      </c>
      <c r="C54" s="1" t="s">
        <v>111</v>
      </c>
      <c r="F54" s="1">
        <v>2294586</v>
      </c>
      <c r="H54" s="4">
        <v>44519</v>
      </c>
      <c r="I54" s="1" t="s">
        <v>25</v>
      </c>
      <c r="J54" s="1">
        <v>200</v>
      </c>
    </row>
    <row r="55" spans="1:10" x14ac:dyDescent="0.2">
      <c r="A55" s="1">
        <v>1035</v>
      </c>
      <c r="B55" s="1" t="s">
        <v>110</v>
      </c>
      <c r="C55" s="1" t="s">
        <v>111</v>
      </c>
      <c r="F55" s="1">
        <v>2294586</v>
      </c>
      <c r="H55" s="4">
        <v>44721</v>
      </c>
      <c r="I55" s="1" t="s">
        <v>30</v>
      </c>
      <c r="J55" s="1">
        <v>300</v>
      </c>
    </row>
    <row r="56" spans="1:10" x14ac:dyDescent="0.2">
      <c r="A56" s="1">
        <v>1035</v>
      </c>
      <c r="B56" s="1" t="s">
        <v>110</v>
      </c>
      <c r="C56" s="1" t="s">
        <v>111</v>
      </c>
      <c r="F56" s="1">
        <v>2294586</v>
      </c>
      <c r="H56" s="4">
        <v>44519</v>
      </c>
      <c r="I56" s="1" t="s">
        <v>25</v>
      </c>
      <c r="J56" s="1">
        <v>100000</v>
      </c>
    </row>
    <row r="57" spans="1:10" x14ac:dyDescent="0.2">
      <c r="A57" s="1">
        <v>1035</v>
      </c>
      <c r="B57" s="1" t="s">
        <v>110</v>
      </c>
      <c r="C57" s="1" t="s">
        <v>111</v>
      </c>
      <c r="F57" s="1">
        <v>2294586</v>
      </c>
      <c r="H57" s="4">
        <v>44830</v>
      </c>
      <c r="I57" s="1" t="s">
        <v>25</v>
      </c>
      <c r="J57" s="1">
        <v>100</v>
      </c>
    </row>
    <row r="58" spans="1:10" x14ac:dyDescent="0.2">
      <c r="A58" s="1">
        <v>1035</v>
      </c>
      <c r="B58" s="1" t="s">
        <v>110</v>
      </c>
      <c r="C58" s="1" t="s">
        <v>111</v>
      </c>
      <c r="F58" s="1">
        <v>2294586</v>
      </c>
      <c r="H58" s="4">
        <v>44846</v>
      </c>
      <c r="I58" s="1" t="s">
        <v>86</v>
      </c>
      <c r="J58" s="1">
        <v>50</v>
      </c>
    </row>
    <row r="59" spans="1:10" x14ac:dyDescent="0.2">
      <c r="A59" s="1">
        <v>1033</v>
      </c>
      <c r="B59" s="1" t="s">
        <v>106</v>
      </c>
      <c r="C59" s="1" t="s">
        <v>107</v>
      </c>
      <c r="E59" s="1" t="s">
        <v>107</v>
      </c>
      <c r="F59" s="1">
        <v>2294842</v>
      </c>
      <c r="H59" s="4">
        <v>44958</v>
      </c>
      <c r="I59" s="1" t="s">
        <v>7</v>
      </c>
      <c r="J59" s="1">
        <v>50</v>
      </c>
    </row>
    <row r="60" spans="1:10" x14ac:dyDescent="0.2">
      <c r="A60" s="1">
        <v>1032</v>
      </c>
      <c r="B60" s="1" t="s">
        <v>140</v>
      </c>
      <c r="C60" s="1" t="s">
        <v>141</v>
      </c>
      <c r="E60" s="1" t="s">
        <v>141</v>
      </c>
      <c r="F60" s="1">
        <v>2295202</v>
      </c>
      <c r="H60" s="4">
        <v>44958</v>
      </c>
      <c r="I60" s="1" t="s">
        <v>11</v>
      </c>
      <c r="J60" s="1">
        <v>50</v>
      </c>
    </row>
    <row r="61" spans="1:10" x14ac:dyDescent="0.2">
      <c r="A61" s="1">
        <v>1030</v>
      </c>
      <c r="B61" s="1" t="s">
        <v>140</v>
      </c>
      <c r="C61" s="1" t="s">
        <v>141</v>
      </c>
      <c r="E61" s="1" t="s">
        <v>141</v>
      </c>
      <c r="F61" s="1">
        <v>2295202</v>
      </c>
      <c r="H61" s="4">
        <v>44958</v>
      </c>
      <c r="I61" s="1" t="s">
        <v>27</v>
      </c>
      <c r="J61" s="1">
        <v>200</v>
      </c>
    </row>
    <row r="62" spans="1:10" x14ac:dyDescent="0.2">
      <c r="A62" s="1">
        <v>1030</v>
      </c>
      <c r="B62" s="1" t="s">
        <v>140</v>
      </c>
      <c r="C62" s="1" t="s">
        <v>141</v>
      </c>
      <c r="E62" s="1" t="s">
        <v>141</v>
      </c>
      <c r="F62" s="1">
        <v>2295202</v>
      </c>
      <c r="H62" s="4">
        <v>44958</v>
      </c>
      <c r="I62" s="1" t="s">
        <v>1</v>
      </c>
      <c r="J62" s="1">
        <v>500</v>
      </c>
    </row>
    <row r="63" spans="1:10" x14ac:dyDescent="0.2">
      <c r="A63" s="1">
        <v>1029</v>
      </c>
      <c r="B63" s="1" t="s">
        <v>106</v>
      </c>
      <c r="C63" s="1" t="s">
        <v>107</v>
      </c>
      <c r="E63" s="1" t="s">
        <v>107</v>
      </c>
      <c r="F63" s="1">
        <v>2294842</v>
      </c>
      <c r="H63" s="4">
        <v>44957</v>
      </c>
      <c r="I63" s="1" t="s">
        <v>11</v>
      </c>
      <c r="J63" s="1">
        <v>300</v>
      </c>
    </row>
    <row r="64" spans="1:10" x14ac:dyDescent="0.2">
      <c r="A64" s="1">
        <v>1029</v>
      </c>
      <c r="B64" s="1" t="s">
        <v>106</v>
      </c>
      <c r="C64" s="1" t="s">
        <v>107</v>
      </c>
      <c r="E64" s="1" t="s">
        <v>107</v>
      </c>
      <c r="F64" s="1">
        <v>2294842</v>
      </c>
      <c r="H64" s="4">
        <v>44957</v>
      </c>
      <c r="I64" s="1" t="s">
        <v>19</v>
      </c>
      <c r="J64" s="1">
        <v>100</v>
      </c>
    </row>
    <row r="65" spans="1:10" x14ac:dyDescent="0.2">
      <c r="A65" s="1">
        <v>1028</v>
      </c>
      <c r="B65" s="1" t="s">
        <v>106</v>
      </c>
      <c r="C65" s="1" t="s">
        <v>107</v>
      </c>
      <c r="E65" s="1" t="s">
        <v>107</v>
      </c>
      <c r="F65" s="1">
        <v>2294842</v>
      </c>
      <c r="H65" s="4">
        <v>44957</v>
      </c>
      <c r="I65" s="1" t="s">
        <v>11</v>
      </c>
      <c r="J65" s="1">
        <v>400</v>
      </c>
    </row>
    <row r="66" spans="1:10" x14ac:dyDescent="0.2">
      <c r="A66" s="1">
        <v>1028</v>
      </c>
      <c r="B66" s="1" t="s">
        <v>106</v>
      </c>
      <c r="C66" s="1" t="s">
        <v>107</v>
      </c>
      <c r="E66" s="1" t="s">
        <v>107</v>
      </c>
      <c r="F66" s="1">
        <v>2294842</v>
      </c>
      <c r="H66" s="4">
        <v>44957</v>
      </c>
      <c r="I66" s="1" t="s">
        <v>19</v>
      </c>
      <c r="J66" s="1">
        <v>500</v>
      </c>
    </row>
    <row r="67" spans="1:10" x14ac:dyDescent="0.2">
      <c r="A67" s="1">
        <v>1027</v>
      </c>
      <c r="B67" s="1" t="s">
        <v>106</v>
      </c>
      <c r="C67" s="1" t="s">
        <v>107</v>
      </c>
      <c r="E67" s="1" t="s">
        <v>107</v>
      </c>
      <c r="F67" s="1">
        <v>2294842</v>
      </c>
      <c r="H67" s="4">
        <v>44957</v>
      </c>
      <c r="I67" s="1" t="s">
        <v>19</v>
      </c>
      <c r="J67" s="1">
        <v>200</v>
      </c>
    </row>
    <row r="68" spans="1:10" x14ac:dyDescent="0.2">
      <c r="A68" s="1">
        <v>1027</v>
      </c>
      <c r="B68" s="1" t="s">
        <v>106</v>
      </c>
      <c r="C68" s="1" t="s">
        <v>107</v>
      </c>
      <c r="E68" s="1" t="s">
        <v>107</v>
      </c>
      <c r="F68" s="1">
        <v>2294842</v>
      </c>
      <c r="H68" s="4">
        <v>44957</v>
      </c>
      <c r="I68" s="1" t="s">
        <v>11</v>
      </c>
      <c r="J68" s="1">
        <v>500</v>
      </c>
    </row>
    <row r="69" spans="1:10" x14ac:dyDescent="0.2">
      <c r="A69" s="1">
        <v>1026</v>
      </c>
      <c r="B69" s="1" t="s">
        <v>144</v>
      </c>
      <c r="C69" s="1" t="s">
        <v>145</v>
      </c>
      <c r="F69" s="1">
        <v>2294845</v>
      </c>
      <c r="H69" s="4">
        <v>44517</v>
      </c>
      <c r="I69" s="1" t="s">
        <v>4</v>
      </c>
      <c r="J69" s="1">
        <v>200</v>
      </c>
    </row>
    <row r="70" spans="1:10" x14ac:dyDescent="0.2">
      <c r="A70" s="1">
        <v>1025</v>
      </c>
      <c r="C70" s="1" t="s">
        <v>113</v>
      </c>
      <c r="F70" s="1">
        <v>2294336</v>
      </c>
      <c r="H70" s="4">
        <v>44945</v>
      </c>
      <c r="I70" s="1" t="s">
        <v>11</v>
      </c>
      <c r="J70" s="1">
        <v>500</v>
      </c>
    </row>
    <row r="71" spans="1:10" x14ac:dyDescent="0.2">
      <c r="A71" s="1">
        <v>1025</v>
      </c>
      <c r="C71" s="1" t="s">
        <v>113</v>
      </c>
      <c r="F71" s="1">
        <v>2294336</v>
      </c>
      <c r="H71" s="4">
        <v>44945</v>
      </c>
      <c r="I71" s="1" t="s">
        <v>19</v>
      </c>
      <c r="J71" s="1">
        <v>150</v>
      </c>
    </row>
    <row r="72" spans="1:10" x14ac:dyDescent="0.2">
      <c r="A72" s="1">
        <v>1024</v>
      </c>
      <c r="C72" s="1" t="s">
        <v>146</v>
      </c>
      <c r="D72" s="1">
        <v>5205551111</v>
      </c>
      <c r="F72" s="1">
        <v>2295559</v>
      </c>
      <c r="H72" s="4">
        <v>44944</v>
      </c>
      <c r="I72" s="1" t="s">
        <v>1</v>
      </c>
      <c r="J72" s="1">
        <v>500</v>
      </c>
    </row>
    <row r="73" spans="1:10" x14ac:dyDescent="0.2">
      <c r="A73" s="1">
        <v>1023</v>
      </c>
      <c r="B73" s="1" t="s">
        <v>130</v>
      </c>
      <c r="C73" s="1" t="s">
        <v>131</v>
      </c>
      <c r="F73" s="1">
        <v>2294769</v>
      </c>
      <c r="H73" s="4">
        <v>44943</v>
      </c>
      <c r="I73" s="1" t="s">
        <v>20</v>
      </c>
      <c r="J73" s="1">
        <v>200</v>
      </c>
    </row>
    <row r="74" spans="1:10" x14ac:dyDescent="0.2">
      <c r="A74" s="1">
        <v>1023</v>
      </c>
      <c r="B74" s="1" t="s">
        <v>130</v>
      </c>
      <c r="C74" s="1" t="s">
        <v>131</v>
      </c>
      <c r="F74" s="1">
        <v>2294769</v>
      </c>
      <c r="H74" s="4">
        <v>44943</v>
      </c>
      <c r="I74" s="1" t="s">
        <v>66</v>
      </c>
      <c r="J74" s="1">
        <v>300</v>
      </c>
    </row>
    <row r="75" spans="1:10" x14ac:dyDescent="0.2">
      <c r="A75" s="1">
        <v>1023</v>
      </c>
      <c r="B75" s="1" t="s">
        <v>130</v>
      </c>
      <c r="C75" s="1" t="s">
        <v>131</v>
      </c>
      <c r="F75" s="1">
        <v>2294769</v>
      </c>
      <c r="H75" s="4">
        <v>44943</v>
      </c>
      <c r="I75" s="1" t="s">
        <v>6</v>
      </c>
      <c r="J75" s="1">
        <v>75</v>
      </c>
    </row>
    <row r="76" spans="1:10" x14ac:dyDescent="0.2">
      <c r="A76" s="1">
        <v>1022</v>
      </c>
      <c r="B76" s="1" t="s">
        <v>108</v>
      </c>
      <c r="C76" s="1" t="s">
        <v>109</v>
      </c>
      <c r="E76" s="1" t="s">
        <v>109</v>
      </c>
      <c r="F76" s="1">
        <v>2294455</v>
      </c>
      <c r="H76" s="4">
        <v>44938</v>
      </c>
      <c r="I76" s="1" t="s">
        <v>22</v>
      </c>
      <c r="J76" s="1">
        <v>100</v>
      </c>
    </row>
    <row r="77" spans="1:10" x14ac:dyDescent="0.2">
      <c r="A77" s="1">
        <v>1022</v>
      </c>
      <c r="B77" s="1" t="s">
        <v>108</v>
      </c>
      <c r="C77" s="1" t="s">
        <v>109</v>
      </c>
      <c r="E77" s="1" t="s">
        <v>109</v>
      </c>
      <c r="F77" s="1">
        <v>2294455</v>
      </c>
      <c r="H77" s="4">
        <v>44938</v>
      </c>
      <c r="I77" s="1" t="s">
        <v>58</v>
      </c>
      <c r="J77" s="1">
        <v>1000</v>
      </c>
    </row>
    <row r="78" spans="1:10" x14ac:dyDescent="0.2">
      <c r="A78" s="1">
        <v>1021</v>
      </c>
      <c r="C78" s="1" t="s">
        <v>147</v>
      </c>
      <c r="F78" s="1">
        <v>2294349</v>
      </c>
      <c r="H78" s="4">
        <v>44935</v>
      </c>
      <c r="I78" s="1" t="s">
        <v>1</v>
      </c>
      <c r="J78" s="1">
        <v>50</v>
      </c>
    </row>
    <row r="79" spans="1:10" x14ac:dyDescent="0.2">
      <c r="A79" s="1">
        <v>1020</v>
      </c>
      <c r="B79" s="1" t="s">
        <v>148</v>
      </c>
      <c r="C79" s="1" t="s">
        <v>149</v>
      </c>
      <c r="E79" s="1" t="s">
        <v>149</v>
      </c>
      <c r="F79" s="1">
        <v>2293977</v>
      </c>
      <c r="H79" s="4">
        <v>44469</v>
      </c>
      <c r="I79" s="1" t="s">
        <v>1</v>
      </c>
      <c r="J79" s="1">
        <v>65</v>
      </c>
    </row>
    <row r="80" spans="1:10" x14ac:dyDescent="0.2">
      <c r="A80" s="1">
        <v>1015</v>
      </c>
      <c r="C80" s="1" t="s">
        <v>150</v>
      </c>
      <c r="F80" s="1">
        <v>2294423</v>
      </c>
      <c r="H80" s="4">
        <v>44929</v>
      </c>
      <c r="I80" s="1" t="s">
        <v>22</v>
      </c>
      <c r="J80" s="1">
        <v>300</v>
      </c>
    </row>
    <row r="81" spans="1:10" x14ac:dyDescent="0.2">
      <c r="A81" s="1">
        <v>1015</v>
      </c>
      <c r="C81" s="1" t="s">
        <v>150</v>
      </c>
      <c r="F81" s="1">
        <v>2294423</v>
      </c>
      <c r="H81" s="4">
        <v>44929</v>
      </c>
      <c r="I81" s="1" t="s">
        <v>21</v>
      </c>
      <c r="J81" s="1">
        <v>99999.99</v>
      </c>
    </row>
    <row r="82" spans="1:10" x14ac:dyDescent="0.2">
      <c r="A82" s="1">
        <v>1011</v>
      </c>
      <c r="B82" s="1" t="s">
        <v>151</v>
      </c>
      <c r="C82" s="1" t="s">
        <v>152</v>
      </c>
      <c r="F82" s="1">
        <v>2295244</v>
      </c>
      <c r="H82" s="4">
        <v>44929</v>
      </c>
      <c r="I82" s="1" t="s">
        <v>2</v>
      </c>
      <c r="J82" s="1">
        <v>58</v>
      </c>
    </row>
    <row r="83" spans="1:10" x14ac:dyDescent="0.2">
      <c r="A83" s="1">
        <v>1004</v>
      </c>
      <c r="B83" s="1" t="s">
        <v>153</v>
      </c>
      <c r="C83" s="1" t="s">
        <v>154</v>
      </c>
      <c r="E83" s="1" t="s">
        <v>154</v>
      </c>
      <c r="F83" s="1">
        <v>2294485</v>
      </c>
      <c r="H83" s="4">
        <v>44929</v>
      </c>
      <c r="I83" s="1" t="s">
        <v>7</v>
      </c>
      <c r="J83" s="1">
        <v>65</v>
      </c>
    </row>
    <row r="84" spans="1:10" x14ac:dyDescent="0.2">
      <c r="A84" s="1">
        <v>1004</v>
      </c>
      <c r="B84" s="1" t="s">
        <v>153</v>
      </c>
      <c r="C84" s="1" t="s">
        <v>154</v>
      </c>
      <c r="E84" s="1" t="s">
        <v>154</v>
      </c>
      <c r="F84" s="1">
        <v>2294485</v>
      </c>
      <c r="H84" s="4">
        <v>44929</v>
      </c>
      <c r="I84" s="1" t="s">
        <v>1</v>
      </c>
      <c r="J84" s="1">
        <v>25</v>
      </c>
    </row>
    <row r="85" spans="1:10" x14ac:dyDescent="0.2">
      <c r="A85" s="1">
        <v>1002</v>
      </c>
      <c r="B85" s="1" t="s">
        <v>155</v>
      </c>
      <c r="C85" s="1" t="s">
        <v>156</v>
      </c>
      <c r="E85" s="1" t="s">
        <v>156</v>
      </c>
      <c r="F85" s="1">
        <v>2294603</v>
      </c>
      <c r="H85" s="4">
        <v>44923</v>
      </c>
      <c r="I85" s="1" t="s">
        <v>1</v>
      </c>
      <c r="J85" s="1">
        <v>300</v>
      </c>
    </row>
    <row r="86" spans="1:10" x14ac:dyDescent="0.2">
      <c r="A86" s="1">
        <v>1002</v>
      </c>
      <c r="B86" s="1" t="s">
        <v>155</v>
      </c>
      <c r="C86" s="1" t="s">
        <v>156</v>
      </c>
      <c r="E86" s="1" t="s">
        <v>156</v>
      </c>
      <c r="F86" s="1">
        <v>2294603</v>
      </c>
      <c r="H86" s="4">
        <v>44923</v>
      </c>
      <c r="I86" s="1" t="s">
        <v>7</v>
      </c>
      <c r="J86" s="1">
        <v>200</v>
      </c>
    </row>
    <row r="87" spans="1:10" x14ac:dyDescent="0.2">
      <c r="A87" s="1">
        <v>999</v>
      </c>
      <c r="B87" s="1" t="s">
        <v>144</v>
      </c>
      <c r="C87" s="1" t="s">
        <v>145</v>
      </c>
      <c r="F87" s="1">
        <v>2294845</v>
      </c>
      <c r="H87" s="4">
        <v>44517</v>
      </c>
      <c r="I87" s="1" t="s">
        <v>4</v>
      </c>
      <c r="J87" s="1">
        <v>200</v>
      </c>
    </row>
    <row r="88" spans="1:10" x14ac:dyDescent="0.2">
      <c r="A88" s="1">
        <v>997</v>
      </c>
      <c r="B88" s="1" t="s">
        <v>130</v>
      </c>
      <c r="C88" s="1" t="s">
        <v>131</v>
      </c>
      <c r="F88" s="1">
        <v>2294769</v>
      </c>
      <c r="H88" s="4">
        <v>44917</v>
      </c>
      <c r="I88" s="1" t="s">
        <v>1</v>
      </c>
      <c r="J88" s="1">
        <v>300</v>
      </c>
    </row>
    <row r="89" spans="1:10" x14ac:dyDescent="0.2">
      <c r="A89" s="1">
        <v>997</v>
      </c>
      <c r="B89" s="1" t="s">
        <v>130</v>
      </c>
      <c r="C89" s="1" t="s">
        <v>131</v>
      </c>
      <c r="F89" s="1">
        <v>2294769</v>
      </c>
      <c r="H89" s="4">
        <v>44917</v>
      </c>
      <c r="I89" s="1" t="s">
        <v>4</v>
      </c>
      <c r="J89" s="1">
        <v>150</v>
      </c>
    </row>
    <row r="90" spans="1:10" x14ac:dyDescent="0.2">
      <c r="A90" s="1">
        <v>996</v>
      </c>
      <c r="B90" s="1" t="s">
        <v>130</v>
      </c>
      <c r="C90" s="1" t="s">
        <v>131</v>
      </c>
      <c r="F90" s="1">
        <v>2294769</v>
      </c>
      <c r="H90" s="4">
        <v>44916</v>
      </c>
      <c r="I90" s="1" t="s">
        <v>67</v>
      </c>
      <c r="J90" s="1">
        <v>150</v>
      </c>
    </row>
    <row r="91" spans="1:10" x14ac:dyDescent="0.2">
      <c r="A91" s="1">
        <v>995</v>
      </c>
      <c r="B91" s="1" t="s">
        <v>157</v>
      </c>
      <c r="C91" s="1" t="s">
        <v>158</v>
      </c>
      <c r="E91" s="1" t="s">
        <v>158</v>
      </c>
      <c r="F91" s="1">
        <v>2295079</v>
      </c>
      <c r="H91" s="4">
        <v>44916</v>
      </c>
      <c r="I91" s="1" t="s">
        <v>1</v>
      </c>
      <c r="J91" s="1">
        <v>300</v>
      </c>
    </row>
    <row r="92" spans="1:10" x14ac:dyDescent="0.2">
      <c r="A92" s="1">
        <v>995</v>
      </c>
      <c r="B92" s="1" t="s">
        <v>157</v>
      </c>
      <c r="C92" s="1" t="s">
        <v>158</v>
      </c>
      <c r="E92" s="1" t="s">
        <v>158</v>
      </c>
      <c r="F92" s="1">
        <v>2295079</v>
      </c>
      <c r="H92" s="4">
        <v>44916</v>
      </c>
      <c r="I92" s="1" t="s">
        <v>7</v>
      </c>
      <c r="J92" s="1">
        <v>90</v>
      </c>
    </row>
    <row r="93" spans="1:10" x14ac:dyDescent="0.2">
      <c r="A93" s="1">
        <v>992</v>
      </c>
      <c r="B93" s="1" t="s">
        <v>159</v>
      </c>
      <c r="C93" s="1" t="s">
        <v>160</v>
      </c>
      <c r="E93" s="1" t="s">
        <v>160</v>
      </c>
      <c r="F93" s="1">
        <v>2294546</v>
      </c>
      <c r="H93" s="4">
        <v>44825</v>
      </c>
      <c r="I93" s="1" t="s">
        <v>5</v>
      </c>
      <c r="J93" s="1">
        <v>200</v>
      </c>
    </row>
    <row r="94" spans="1:10" x14ac:dyDescent="0.2">
      <c r="A94" s="1">
        <v>992</v>
      </c>
      <c r="B94" s="1" t="s">
        <v>159</v>
      </c>
      <c r="C94" s="1" t="s">
        <v>160</v>
      </c>
      <c r="E94" s="1" t="s">
        <v>160</v>
      </c>
      <c r="F94" s="1">
        <v>2294546</v>
      </c>
      <c r="H94" s="4">
        <v>44825</v>
      </c>
      <c r="I94" s="1" t="s">
        <v>18</v>
      </c>
      <c r="J94" s="1">
        <v>300</v>
      </c>
    </row>
    <row r="95" spans="1:10" x14ac:dyDescent="0.2">
      <c r="A95" s="1">
        <v>990</v>
      </c>
      <c r="B95" s="1" t="s">
        <v>161</v>
      </c>
      <c r="C95" s="1" t="s">
        <v>162</v>
      </c>
      <c r="E95" s="1" t="s">
        <v>162</v>
      </c>
      <c r="F95" s="1">
        <v>2294453</v>
      </c>
      <c r="H95" s="4">
        <v>44427</v>
      </c>
      <c r="I95" s="1" t="s">
        <v>1</v>
      </c>
      <c r="J95" s="1">
        <v>1250</v>
      </c>
    </row>
    <row r="96" spans="1:10" x14ac:dyDescent="0.2">
      <c r="A96" s="1">
        <v>989</v>
      </c>
      <c r="B96" s="1" t="s">
        <v>110</v>
      </c>
      <c r="C96" s="1" t="s">
        <v>111</v>
      </c>
      <c r="E96" s="1" t="s">
        <v>111</v>
      </c>
      <c r="F96" s="1">
        <v>2294586</v>
      </c>
      <c r="H96" s="4">
        <v>44403</v>
      </c>
      <c r="I96" s="1" t="s">
        <v>1</v>
      </c>
      <c r="J96" s="1">
        <v>125</v>
      </c>
    </row>
    <row r="97" spans="1:10" x14ac:dyDescent="0.2">
      <c r="A97" s="1">
        <v>989</v>
      </c>
      <c r="B97" s="1" t="s">
        <v>110</v>
      </c>
      <c r="C97" s="1" t="s">
        <v>111</v>
      </c>
      <c r="E97" s="1" t="s">
        <v>111</v>
      </c>
      <c r="F97" s="1">
        <v>2294586</v>
      </c>
      <c r="H97" s="4">
        <v>44403</v>
      </c>
      <c r="I97" s="1" t="s">
        <v>41</v>
      </c>
      <c r="J97" s="1">
        <v>99999.99</v>
      </c>
    </row>
    <row r="98" spans="1:10" x14ac:dyDescent="0.2">
      <c r="A98" s="1">
        <v>985</v>
      </c>
      <c r="B98" s="1" t="s">
        <v>163</v>
      </c>
      <c r="C98" s="1" t="s">
        <v>164</v>
      </c>
      <c r="F98" s="1">
        <v>2294823</v>
      </c>
      <c r="H98" s="4">
        <v>44509</v>
      </c>
      <c r="I98" s="1" t="s">
        <v>1</v>
      </c>
      <c r="J98" s="1">
        <v>200</v>
      </c>
    </row>
    <row r="99" spans="1:10" x14ac:dyDescent="0.2">
      <c r="A99" s="1">
        <v>984</v>
      </c>
      <c r="B99" s="1" t="s">
        <v>106</v>
      </c>
      <c r="C99" s="1" t="s">
        <v>107</v>
      </c>
      <c r="E99" s="1" t="s">
        <v>107</v>
      </c>
      <c r="F99" s="1">
        <v>2294842</v>
      </c>
      <c r="H99" s="4">
        <v>44908</v>
      </c>
      <c r="I99" s="1" t="s">
        <v>19</v>
      </c>
      <c r="J99" s="1">
        <v>99999.99</v>
      </c>
    </row>
    <row r="100" spans="1:10" x14ac:dyDescent="0.2">
      <c r="A100" s="1">
        <v>984</v>
      </c>
      <c r="B100" s="1" t="s">
        <v>106</v>
      </c>
      <c r="C100" s="1" t="s">
        <v>107</v>
      </c>
      <c r="E100" s="1" t="s">
        <v>107</v>
      </c>
      <c r="F100" s="1">
        <v>2294842</v>
      </c>
      <c r="H100" s="4">
        <v>44908</v>
      </c>
      <c r="I100" s="1" t="s">
        <v>11</v>
      </c>
      <c r="J100" s="1">
        <v>300</v>
      </c>
    </row>
    <row r="101" spans="1:10" x14ac:dyDescent="0.2">
      <c r="A101" s="1">
        <v>983</v>
      </c>
      <c r="C101" s="1" t="s">
        <v>165</v>
      </c>
      <c r="F101" s="1">
        <v>2293758</v>
      </c>
      <c r="H101" s="4">
        <v>44908</v>
      </c>
      <c r="I101" s="1" t="s">
        <v>7</v>
      </c>
      <c r="J101" s="1">
        <v>200</v>
      </c>
    </row>
    <row r="102" spans="1:10" x14ac:dyDescent="0.2">
      <c r="A102" s="1">
        <v>983</v>
      </c>
      <c r="C102" s="1" t="s">
        <v>165</v>
      </c>
      <c r="F102" s="1">
        <v>2293758</v>
      </c>
      <c r="H102" s="4">
        <v>44908</v>
      </c>
      <c r="I102" s="1" t="s">
        <v>1</v>
      </c>
      <c r="J102" s="1">
        <v>500</v>
      </c>
    </row>
    <row r="103" spans="1:10" x14ac:dyDescent="0.2">
      <c r="A103" s="1">
        <v>981</v>
      </c>
      <c r="B103" s="1" t="s">
        <v>166</v>
      </c>
      <c r="C103" s="1" t="s">
        <v>167</v>
      </c>
      <c r="E103" s="1" t="s">
        <v>167</v>
      </c>
      <c r="F103" s="1">
        <v>2295508</v>
      </c>
      <c r="H103" s="4">
        <v>44904</v>
      </c>
      <c r="I103" s="1" t="s">
        <v>1</v>
      </c>
      <c r="J103" s="1">
        <v>200</v>
      </c>
    </row>
    <row r="104" spans="1:10" x14ac:dyDescent="0.2">
      <c r="A104" s="1">
        <v>981</v>
      </c>
      <c r="B104" s="1" t="s">
        <v>166</v>
      </c>
      <c r="C104" s="1" t="s">
        <v>167</v>
      </c>
      <c r="E104" s="1" t="s">
        <v>167</v>
      </c>
      <c r="F104" s="1">
        <v>2295508</v>
      </c>
      <c r="H104" s="4">
        <v>44904</v>
      </c>
      <c r="I104" s="1" t="s">
        <v>7</v>
      </c>
      <c r="J104" s="1">
        <v>300</v>
      </c>
    </row>
    <row r="105" spans="1:10" x14ac:dyDescent="0.2">
      <c r="A105" s="1">
        <v>978</v>
      </c>
      <c r="B105" s="1" t="s">
        <v>166</v>
      </c>
      <c r="C105" s="1" t="s">
        <v>167</v>
      </c>
      <c r="F105" s="1">
        <v>2295508</v>
      </c>
      <c r="H105" s="4">
        <v>44903</v>
      </c>
      <c r="I105" s="1" t="s">
        <v>7</v>
      </c>
      <c r="J105" s="1">
        <v>200</v>
      </c>
    </row>
    <row r="106" spans="1:10" x14ac:dyDescent="0.2">
      <c r="A106" s="1">
        <v>978</v>
      </c>
      <c r="B106" s="1" t="s">
        <v>166</v>
      </c>
      <c r="C106" s="1" t="s">
        <v>167</v>
      </c>
      <c r="F106" s="1">
        <v>2295508</v>
      </c>
      <c r="H106" s="4">
        <v>44903</v>
      </c>
      <c r="I106" s="1" t="s">
        <v>1</v>
      </c>
      <c r="J106" s="1">
        <v>300</v>
      </c>
    </row>
    <row r="107" spans="1:10" x14ac:dyDescent="0.2">
      <c r="A107" s="1">
        <v>975</v>
      </c>
      <c r="B107" s="1" t="s">
        <v>168</v>
      </c>
      <c r="C107" s="1" t="s">
        <v>169</v>
      </c>
      <c r="E107" s="1" t="s">
        <v>169</v>
      </c>
      <c r="F107" s="1">
        <v>2294484</v>
      </c>
      <c r="H107" s="4">
        <v>44902</v>
      </c>
      <c r="I107" s="1" t="s">
        <v>1</v>
      </c>
      <c r="J107" s="1">
        <v>200</v>
      </c>
    </row>
    <row r="108" spans="1:10" x14ac:dyDescent="0.2">
      <c r="A108" s="1">
        <v>975</v>
      </c>
      <c r="B108" s="1" t="s">
        <v>168</v>
      </c>
      <c r="C108" s="1" t="s">
        <v>169</v>
      </c>
      <c r="E108" s="1" t="s">
        <v>169</v>
      </c>
      <c r="F108" s="1">
        <v>2294484</v>
      </c>
      <c r="H108" s="4">
        <v>44902</v>
      </c>
      <c r="I108" s="1" t="s">
        <v>7</v>
      </c>
      <c r="J108" s="1">
        <v>300</v>
      </c>
    </row>
    <row r="109" spans="1:10" x14ac:dyDescent="0.2">
      <c r="A109" s="1">
        <v>972</v>
      </c>
      <c r="B109" s="1" t="s">
        <v>110</v>
      </c>
      <c r="C109" s="1" t="s">
        <v>111</v>
      </c>
      <c r="E109" s="1" t="s">
        <v>170</v>
      </c>
      <c r="F109" s="1">
        <v>2294586</v>
      </c>
      <c r="H109" s="4">
        <v>44902</v>
      </c>
      <c r="I109" s="1" t="s">
        <v>7</v>
      </c>
      <c r="J109" s="1">
        <v>300</v>
      </c>
    </row>
    <row r="110" spans="1:10" x14ac:dyDescent="0.2">
      <c r="A110" s="1">
        <v>972</v>
      </c>
      <c r="B110" s="1" t="s">
        <v>110</v>
      </c>
      <c r="C110" s="1" t="s">
        <v>111</v>
      </c>
      <c r="E110" s="1" t="s">
        <v>170</v>
      </c>
      <c r="F110" s="1">
        <v>2294586</v>
      </c>
      <c r="H110" s="4">
        <v>44902</v>
      </c>
      <c r="I110" s="1" t="s">
        <v>1</v>
      </c>
      <c r="J110" s="1">
        <v>200</v>
      </c>
    </row>
    <row r="111" spans="1:10" x14ac:dyDescent="0.2">
      <c r="A111" s="1">
        <v>970</v>
      </c>
      <c r="B111" s="1" t="s">
        <v>106</v>
      </c>
      <c r="C111" s="1" t="s">
        <v>107</v>
      </c>
      <c r="E111" s="1" t="s">
        <v>107</v>
      </c>
      <c r="F111" s="1">
        <v>2294842</v>
      </c>
      <c r="H111" s="4">
        <v>44902</v>
      </c>
      <c r="I111" s="1" t="s">
        <v>19</v>
      </c>
      <c r="J111" s="1">
        <v>300</v>
      </c>
    </row>
    <row r="112" spans="1:10" x14ac:dyDescent="0.2">
      <c r="A112" s="1">
        <v>970</v>
      </c>
      <c r="B112" s="1" t="s">
        <v>106</v>
      </c>
      <c r="C112" s="1" t="s">
        <v>107</v>
      </c>
      <c r="E112" s="1" t="s">
        <v>107</v>
      </c>
      <c r="F112" s="1">
        <v>2294842</v>
      </c>
      <c r="H112" s="4">
        <v>44902</v>
      </c>
      <c r="I112" s="1" t="s">
        <v>11</v>
      </c>
      <c r="J112" s="1">
        <v>200</v>
      </c>
    </row>
    <row r="113" spans="1:10" x14ac:dyDescent="0.2">
      <c r="A113" s="1">
        <v>969</v>
      </c>
      <c r="B113" s="1" t="s">
        <v>171</v>
      </c>
      <c r="C113" s="1" t="s">
        <v>172</v>
      </c>
      <c r="E113" s="1" t="s">
        <v>173</v>
      </c>
      <c r="F113" s="1">
        <v>2294497</v>
      </c>
      <c r="H113" s="4">
        <v>44902</v>
      </c>
      <c r="I113" s="1" t="s">
        <v>81</v>
      </c>
      <c r="J113" s="1">
        <v>500</v>
      </c>
    </row>
    <row r="114" spans="1:10" x14ac:dyDescent="0.2">
      <c r="A114" s="1">
        <v>968</v>
      </c>
      <c r="B114" s="1" t="s">
        <v>106</v>
      </c>
      <c r="C114" s="1" t="s">
        <v>107</v>
      </c>
      <c r="E114" s="1" t="s">
        <v>107</v>
      </c>
      <c r="F114" s="1">
        <v>2294842</v>
      </c>
      <c r="H114" s="4">
        <v>44902</v>
      </c>
      <c r="I114" s="1" t="s">
        <v>11</v>
      </c>
      <c r="J114" s="1">
        <v>200</v>
      </c>
    </row>
    <row r="115" spans="1:10" x14ac:dyDescent="0.2">
      <c r="A115" s="1">
        <v>968</v>
      </c>
      <c r="B115" s="1" t="s">
        <v>106</v>
      </c>
      <c r="C115" s="1" t="s">
        <v>107</v>
      </c>
      <c r="E115" s="1" t="s">
        <v>107</v>
      </c>
      <c r="F115" s="1">
        <v>2294842</v>
      </c>
      <c r="H115" s="4">
        <v>44902</v>
      </c>
      <c r="I115" s="1" t="s">
        <v>19</v>
      </c>
      <c r="J115" s="1">
        <v>0</v>
      </c>
    </row>
    <row r="116" spans="1:10" x14ac:dyDescent="0.2">
      <c r="A116" s="1">
        <v>967</v>
      </c>
      <c r="B116" s="1" t="s">
        <v>110</v>
      </c>
      <c r="C116" s="1" t="s">
        <v>111</v>
      </c>
      <c r="E116" s="1" t="s">
        <v>170</v>
      </c>
      <c r="F116" s="1">
        <v>2294586</v>
      </c>
      <c r="H116" s="4">
        <v>44901</v>
      </c>
      <c r="I116" s="1" t="s">
        <v>1</v>
      </c>
      <c r="J116" s="1">
        <v>500</v>
      </c>
    </row>
    <row r="117" spans="1:10" x14ac:dyDescent="0.2">
      <c r="A117" s="1">
        <v>967</v>
      </c>
      <c r="B117" s="1" t="s">
        <v>110</v>
      </c>
      <c r="C117" s="1" t="s">
        <v>111</v>
      </c>
      <c r="E117" s="1" t="s">
        <v>170</v>
      </c>
      <c r="F117" s="1">
        <v>2294586</v>
      </c>
      <c r="H117" s="4">
        <v>44901</v>
      </c>
      <c r="I117" s="1" t="s">
        <v>11</v>
      </c>
      <c r="J117" s="1">
        <v>400</v>
      </c>
    </row>
    <row r="118" spans="1:10" x14ac:dyDescent="0.2">
      <c r="A118" s="1">
        <v>963</v>
      </c>
      <c r="B118" s="1" t="s">
        <v>106</v>
      </c>
      <c r="C118" s="1" t="s">
        <v>107</v>
      </c>
      <c r="E118" s="1" t="s">
        <v>107</v>
      </c>
      <c r="F118" s="1">
        <v>2294842</v>
      </c>
      <c r="H118" s="4">
        <v>44901</v>
      </c>
      <c r="I118" s="1" t="s">
        <v>11</v>
      </c>
      <c r="J118" s="1">
        <v>300</v>
      </c>
    </row>
    <row r="119" spans="1:10" x14ac:dyDescent="0.2">
      <c r="A119" s="1">
        <v>963</v>
      </c>
      <c r="B119" s="1" t="s">
        <v>106</v>
      </c>
      <c r="C119" s="1" t="s">
        <v>107</v>
      </c>
      <c r="E119" s="1" t="s">
        <v>107</v>
      </c>
      <c r="F119" s="1">
        <v>2294842</v>
      </c>
      <c r="H119" s="4">
        <v>44901</v>
      </c>
      <c r="I119" s="1" t="s">
        <v>1</v>
      </c>
      <c r="J119" s="1">
        <v>500</v>
      </c>
    </row>
    <row r="120" spans="1:10" x14ac:dyDescent="0.2">
      <c r="A120" s="1">
        <v>962</v>
      </c>
      <c r="B120" s="1" t="s">
        <v>174</v>
      </c>
      <c r="C120" s="1" t="s">
        <v>175</v>
      </c>
      <c r="E120" s="1" t="s">
        <v>175</v>
      </c>
      <c r="F120" s="1">
        <v>2294617</v>
      </c>
      <c r="H120" s="4">
        <v>44900</v>
      </c>
      <c r="I120" s="1" t="s">
        <v>7</v>
      </c>
      <c r="J120" s="1">
        <v>300</v>
      </c>
    </row>
    <row r="121" spans="1:10" x14ac:dyDescent="0.2">
      <c r="A121" s="1">
        <v>962</v>
      </c>
      <c r="B121" s="1" t="s">
        <v>174</v>
      </c>
      <c r="C121" s="1" t="s">
        <v>175</v>
      </c>
      <c r="E121" s="1" t="s">
        <v>175</v>
      </c>
      <c r="F121" s="1">
        <v>2294617</v>
      </c>
      <c r="H121" s="4">
        <v>44900</v>
      </c>
      <c r="I121" s="1" t="s">
        <v>1</v>
      </c>
      <c r="J121" s="1">
        <v>500</v>
      </c>
    </row>
    <row r="122" spans="1:10" x14ac:dyDescent="0.2">
      <c r="A122" s="1">
        <v>960</v>
      </c>
      <c r="B122" s="1" t="s">
        <v>176</v>
      </c>
      <c r="C122" s="1" t="s">
        <v>177</v>
      </c>
      <c r="E122" s="1" t="s">
        <v>178</v>
      </c>
      <c r="F122" s="1">
        <v>2294657</v>
      </c>
      <c r="H122" s="4">
        <v>44897</v>
      </c>
      <c r="I122" s="1" t="s">
        <v>2</v>
      </c>
      <c r="J122" s="1">
        <v>200</v>
      </c>
    </row>
    <row r="123" spans="1:10" x14ac:dyDescent="0.2">
      <c r="A123" s="1">
        <v>958</v>
      </c>
      <c r="B123" s="1" t="s">
        <v>179</v>
      </c>
      <c r="C123" s="1" t="s">
        <v>180</v>
      </c>
      <c r="E123" s="1" t="s">
        <v>181</v>
      </c>
      <c r="F123" s="1">
        <v>2295245</v>
      </c>
      <c r="H123" s="4">
        <v>44897</v>
      </c>
      <c r="I123" s="1" t="s">
        <v>21</v>
      </c>
      <c r="J123" s="1">
        <v>300</v>
      </c>
    </row>
    <row r="124" spans="1:10" x14ac:dyDescent="0.2">
      <c r="A124" s="1">
        <v>958</v>
      </c>
      <c r="B124" s="1" t="s">
        <v>179</v>
      </c>
      <c r="C124" s="1" t="s">
        <v>180</v>
      </c>
      <c r="E124" s="1" t="s">
        <v>181</v>
      </c>
      <c r="F124" s="1">
        <v>2295245</v>
      </c>
      <c r="H124" s="4">
        <v>44897</v>
      </c>
      <c r="I124" s="1" t="s">
        <v>58</v>
      </c>
      <c r="J124" s="1">
        <v>25</v>
      </c>
    </row>
    <row r="125" spans="1:10" x14ac:dyDescent="0.2">
      <c r="A125" s="1">
        <v>957</v>
      </c>
      <c r="B125" s="1" t="s">
        <v>140</v>
      </c>
      <c r="C125" s="1" t="s">
        <v>141</v>
      </c>
      <c r="E125" s="1" t="s">
        <v>141</v>
      </c>
      <c r="F125" s="1">
        <v>2295202</v>
      </c>
      <c r="H125" s="4">
        <v>44896</v>
      </c>
      <c r="I125" s="1" t="s">
        <v>19</v>
      </c>
      <c r="J125" s="1">
        <v>58</v>
      </c>
    </row>
    <row r="126" spans="1:10" x14ac:dyDescent="0.2">
      <c r="A126" s="1">
        <v>956</v>
      </c>
      <c r="B126" s="1" t="s">
        <v>106</v>
      </c>
      <c r="C126" s="1" t="s">
        <v>107</v>
      </c>
      <c r="E126" s="1" t="s">
        <v>107</v>
      </c>
      <c r="F126" s="1">
        <v>2294842</v>
      </c>
      <c r="H126" s="4">
        <v>44895</v>
      </c>
      <c r="I126" s="1" t="s">
        <v>19</v>
      </c>
      <c r="J126" s="1">
        <v>50</v>
      </c>
    </row>
    <row r="127" spans="1:10" x14ac:dyDescent="0.2">
      <c r="A127" s="1">
        <v>956</v>
      </c>
      <c r="B127" s="1" t="s">
        <v>106</v>
      </c>
      <c r="C127" s="1" t="s">
        <v>107</v>
      </c>
      <c r="E127" s="1" t="s">
        <v>107</v>
      </c>
      <c r="F127" s="1">
        <v>2294842</v>
      </c>
      <c r="H127" s="4">
        <v>44895</v>
      </c>
      <c r="I127" s="1" t="s">
        <v>11</v>
      </c>
      <c r="J127" s="1">
        <v>200</v>
      </c>
    </row>
    <row r="128" spans="1:10" x14ac:dyDescent="0.2">
      <c r="A128" s="1">
        <v>955</v>
      </c>
      <c r="B128" s="1" t="s">
        <v>182</v>
      </c>
      <c r="C128" s="1" t="s">
        <v>183</v>
      </c>
      <c r="F128" s="1">
        <v>2295000</v>
      </c>
      <c r="H128" s="4">
        <v>44895</v>
      </c>
      <c r="I128" s="1" t="s">
        <v>46</v>
      </c>
      <c r="J128" s="1">
        <v>200</v>
      </c>
    </row>
    <row r="129" spans="1:10" x14ac:dyDescent="0.2">
      <c r="A129" s="1">
        <v>954</v>
      </c>
      <c r="B129" s="1" t="s">
        <v>106</v>
      </c>
      <c r="C129" s="1" t="s">
        <v>107</v>
      </c>
      <c r="E129" s="1" t="s">
        <v>107</v>
      </c>
      <c r="F129" s="1">
        <v>2294842</v>
      </c>
      <c r="H129" s="4">
        <v>44895</v>
      </c>
      <c r="I129" s="1" t="s">
        <v>19</v>
      </c>
      <c r="J129" s="1">
        <v>500</v>
      </c>
    </row>
    <row r="130" spans="1:10" x14ac:dyDescent="0.2">
      <c r="A130" s="1">
        <v>954</v>
      </c>
      <c r="B130" s="1" t="s">
        <v>106</v>
      </c>
      <c r="C130" s="1" t="s">
        <v>107</v>
      </c>
      <c r="E130" s="1" t="s">
        <v>107</v>
      </c>
      <c r="F130" s="1">
        <v>2294842</v>
      </c>
      <c r="H130" s="4">
        <v>44895</v>
      </c>
      <c r="I130" s="1" t="s">
        <v>11</v>
      </c>
      <c r="J130" s="1">
        <v>10</v>
      </c>
    </row>
    <row r="131" spans="1:10" x14ac:dyDescent="0.2">
      <c r="A131" s="1">
        <v>953</v>
      </c>
      <c r="B131" s="1" t="s">
        <v>184</v>
      </c>
      <c r="C131" s="1" t="s">
        <v>185</v>
      </c>
      <c r="F131" s="1">
        <v>2294481</v>
      </c>
      <c r="H131" s="4">
        <v>44895</v>
      </c>
      <c r="I131" s="1" t="s">
        <v>7</v>
      </c>
      <c r="J131" s="1">
        <v>500</v>
      </c>
    </row>
    <row r="132" spans="1:10" x14ac:dyDescent="0.2">
      <c r="A132" s="1">
        <v>953</v>
      </c>
      <c r="B132" s="1" t="s">
        <v>184</v>
      </c>
      <c r="C132" s="1" t="s">
        <v>185</v>
      </c>
      <c r="F132" s="1">
        <v>2294481</v>
      </c>
      <c r="H132" s="4">
        <v>44895</v>
      </c>
      <c r="I132" s="1" t="s">
        <v>1</v>
      </c>
      <c r="J132" s="1">
        <v>200</v>
      </c>
    </row>
    <row r="133" spans="1:10" x14ac:dyDescent="0.2">
      <c r="A133" s="1">
        <v>952</v>
      </c>
      <c r="B133" s="1" t="s">
        <v>186</v>
      </c>
      <c r="C133" s="1" t="s">
        <v>187</v>
      </c>
      <c r="E133" s="1" t="s">
        <v>188</v>
      </c>
      <c r="F133" s="1">
        <v>2295294</v>
      </c>
      <c r="H133" s="4">
        <v>44894</v>
      </c>
      <c r="I133" s="1" t="s">
        <v>4</v>
      </c>
      <c r="J133" s="1">
        <v>200</v>
      </c>
    </row>
    <row r="134" spans="1:10" x14ac:dyDescent="0.2">
      <c r="A134" s="1">
        <v>951</v>
      </c>
      <c r="B134" s="1" t="s">
        <v>189</v>
      </c>
      <c r="C134" s="1" t="s">
        <v>190</v>
      </c>
      <c r="E134" s="1" t="s">
        <v>190</v>
      </c>
      <c r="F134" s="1">
        <v>2295498</v>
      </c>
      <c r="H134" s="4">
        <v>44894</v>
      </c>
      <c r="I134" s="1" t="s">
        <v>1</v>
      </c>
      <c r="J134" s="1">
        <v>300</v>
      </c>
    </row>
    <row r="135" spans="1:10" x14ac:dyDescent="0.2">
      <c r="A135" s="1">
        <v>951</v>
      </c>
      <c r="B135" s="1" t="s">
        <v>189</v>
      </c>
      <c r="C135" s="1" t="s">
        <v>190</v>
      </c>
      <c r="E135" s="1" t="s">
        <v>190</v>
      </c>
      <c r="F135" s="1">
        <v>2295498</v>
      </c>
      <c r="H135" s="4">
        <v>44894</v>
      </c>
      <c r="I135" s="1" t="s">
        <v>7</v>
      </c>
      <c r="J135" s="1">
        <v>150</v>
      </c>
    </row>
    <row r="136" spans="1:10" x14ac:dyDescent="0.2">
      <c r="A136" s="1">
        <v>949</v>
      </c>
      <c r="B136" s="1" t="s">
        <v>189</v>
      </c>
      <c r="C136" s="1" t="s">
        <v>190</v>
      </c>
      <c r="E136" s="1" t="s">
        <v>190</v>
      </c>
      <c r="F136" s="1">
        <v>2295498</v>
      </c>
      <c r="H136" s="4">
        <v>44894</v>
      </c>
      <c r="I136" s="1" t="s">
        <v>4</v>
      </c>
      <c r="J136" s="1">
        <v>300</v>
      </c>
    </row>
    <row r="137" spans="1:10" x14ac:dyDescent="0.2">
      <c r="A137" s="1">
        <v>948</v>
      </c>
      <c r="B137" s="1" t="s">
        <v>189</v>
      </c>
      <c r="C137" s="1" t="s">
        <v>190</v>
      </c>
      <c r="E137" s="1" t="s">
        <v>190</v>
      </c>
      <c r="F137" s="1">
        <v>2295498</v>
      </c>
      <c r="H137" s="4">
        <v>44894</v>
      </c>
      <c r="I137" s="1" t="s">
        <v>7</v>
      </c>
      <c r="J137" s="1">
        <v>200</v>
      </c>
    </row>
    <row r="138" spans="1:10" x14ac:dyDescent="0.2">
      <c r="A138" s="1">
        <v>948</v>
      </c>
      <c r="B138" s="1" t="s">
        <v>189</v>
      </c>
      <c r="C138" s="1" t="s">
        <v>190</v>
      </c>
      <c r="E138" s="1" t="s">
        <v>190</v>
      </c>
      <c r="F138" s="1">
        <v>2295498</v>
      </c>
      <c r="H138" s="4">
        <v>44894</v>
      </c>
      <c r="I138" s="1" t="s">
        <v>1</v>
      </c>
      <c r="J138" s="1">
        <v>150</v>
      </c>
    </row>
    <row r="139" spans="1:10" x14ac:dyDescent="0.2">
      <c r="A139" s="1">
        <v>945</v>
      </c>
      <c r="B139" s="1" t="s">
        <v>142</v>
      </c>
      <c r="C139" s="1" t="s">
        <v>143</v>
      </c>
      <c r="E139" s="1" t="s">
        <v>143</v>
      </c>
      <c r="F139" s="1">
        <v>2293735</v>
      </c>
      <c r="H139" s="4">
        <v>44893</v>
      </c>
      <c r="I139" s="1" t="s">
        <v>7</v>
      </c>
      <c r="J139" s="1">
        <v>300</v>
      </c>
    </row>
    <row r="140" spans="1:10" x14ac:dyDescent="0.2">
      <c r="A140" s="1">
        <v>945</v>
      </c>
      <c r="B140" s="1" t="s">
        <v>142</v>
      </c>
      <c r="C140" s="1" t="s">
        <v>143</v>
      </c>
      <c r="E140" s="1" t="s">
        <v>143</v>
      </c>
      <c r="F140" s="1">
        <v>2293735</v>
      </c>
      <c r="H140" s="4">
        <v>44893</v>
      </c>
      <c r="I140" s="1" t="s">
        <v>1</v>
      </c>
      <c r="J140" s="1">
        <v>200</v>
      </c>
    </row>
    <row r="141" spans="1:10" x14ac:dyDescent="0.2">
      <c r="A141" s="1">
        <v>943</v>
      </c>
      <c r="B141" s="1" t="s">
        <v>106</v>
      </c>
      <c r="C141" s="1" t="s">
        <v>107</v>
      </c>
      <c r="E141" s="1" t="s">
        <v>107</v>
      </c>
      <c r="F141" s="1">
        <v>2294842</v>
      </c>
      <c r="H141" s="4">
        <v>44888</v>
      </c>
      <c r="I141" s="1" t="s">
        <v>11</v>
      </c>
      <c r="J141" s="1">
        <v>200</v>
      </c>
    </row>
    <row r="142" spans="1:10" x14ac:dyDescent="0.2">
      <c r="A142" s="1">
        <v>943</v>
      </c>
      <c r="B142" s="1" t="s">
        <v>106</v>
      </c>
      <c r="C142" s="1" t="s">
        <v>107</v>
      </c>
      <c r="E142" s="1" t="s">
        <v>107</v>
      </c>
      <c r="F142" s="1">
        <v>2294842</v>
      </c>
      <c r="H142" s="4">
        <v>44888</v>
      </c>
      <c r="I142" s="1" t="s">
        <v>19</v>
      </c>
      <c r="J142" s="1">
        <v>300</v>
      </c>
    </row>
    <row r="143" spans="1:10" x14ac:dyDescent="0.2">
      <c r="A143" s="1">
        <v>942</v>
      </c>
      <c r="B143" s="1" t="s">
        <v>130</v>
      </c>
      <c r="C143" s="1" t="s">
        <v>131</v>
      </c>
      <c r="F143" s="1">
        <v>2294769</v>
      </c>
      <c r="H143" s="4">
        <v>44883</v>
      </c>
      <c r="I143" s="1" t="s">
        <v>19</v>
      </c>
      <c r="J143" s="1">
        <v>200</v>
      </c>
    </row>
    <row r="144" spans="1:10" x14ac:dyDescent="0.2">
      <c r="A144" s="1">
        <v>942</v>
      </c>
      <c r="B144" s="1" t="s">
        <v>130</v>
      </c>
      <c r="C144" s="1" t="s">
        <v>131</v>
      </c>
      <c r="F144" s="1">
        <v>2294769</v>
      </c>
      <c r="H144" s="4">
        <v>44883</v>
      </c>
      <c r="I144" s="1" t="s">
        <v>25</v>
      </c>
      <c r="J144" s="1">
        <v>500</v>
      </c>
    </row>
    <row r="145" spans="1:10" x14ac:dyDescent="0.2">
      <c r="A145" s="1">
        <v>941</v>
      </c>
      <c r="B145" s="1" t="s">
        <v>191</v>
      </c>
      <c r="C145" s="1" t="s">
        <v>192</v>
      </c>
      <c r="F145" s="1">
        <v>2293589</v>
      </c>
      <c r="H145" s="4">
        <v>44882</v>
      </c>
      <c r="I145" s="1" t="s">
        <v>1</v>
      </c>
      <c r="J145" s="1">
        <v>200</v>
      </c>
    </row>
    <row r="146" spans="1:10" x14ac:dyDescent="0.2">
      <c r="A146" s="1">
        <v>941</v>
      </c>
      <c r="B146" s="1" t="s">
        <v>191</v>
      </c>
      <c r="C146" s="1" t="s">
        <v>192</v>
      </c>
      <c r="F146" s="1">
        <v>2293589</v>
      </c>
      <c r="H146" s="4">
        <v>44882</v>
      </c>
      <c r="I146" s="1" t="s">
        <v>7</v>
      </c>
      <c r="J146" s="1">
        <v>50</v>
      </c>
    </row>
    <row r="147" spans="1:10" x14ac:dyDescent="0.2">
      <c r="A147" s="1">
        <v>939</v>
      </c>
      <c r="B147" s="1" t="s">
        <v>140</v>
      </c>
      <c r="C147" s="1" t="s">
        <v>141</v>
      </c>
      <c r="E147" s="1" t="s">
        <v>141</v>
      </c>
      <c r="F147" s="1">
        <v>2295202</v>
      </c>
      <c r="H147" s="4">
        <v>44882</v>
      </c>
      <c r="I147" s="1" t="s">
        <v>3</v>
      </c>
      <c r="J147" s="1">
        <v>200</v>
      </c>
    </row>
    <row r="148" spans="1:10" x14ac:dyDescent="0.2">
      <c r="A148" s="1">
        <v>939</v>
      </c>
      <c r="B148" s="1" t="s">
        <v>140</v>
      </c>
      <c r="C148" s="1" t="s">
        <v>141</v>
      </c>
      <c r="E148" s="1" t="s">
        <v>141</v>
      </c>
      <c r="F148" s="1">
        <v>2295202</v>
      </c>
      <c r="H148" s="4">
        <v>44882</v>
      </c>
      <c r="I148" s="1" t="s">
        <v>1</v>
      </c>
      <c r="J148" s="1">
        <v>300</v>
      </c>
    </row>
    <row r="149" spans="1:10" x14ac:dyDescent="0.2">
      <c r="A149" s="1">
        <v>938</v>
      </c>
      <c r="B149" s="1" t="s">
        <v>106</v>
      </c>
      <c r="C149" s="1" t="s">
        <v>107</v>
      </c>
      <c r="E149" s="1" t="s">
        <v>107</v>
      </c>
      <c r="F149" s="1">
        <v>2294842</v>
      </c>
      <c r="H149" s="4">
        <v>44881</v>
      </c>
      <c r="I149" s="1" t="s">
        <v>11</v>
      </c>
      <c r="J149" s="1">
        <v>300</v>
      </c>
    </row>
    <row r="150" spans="1:10" x14ac:dyDescent="0.2">
      <c r="A150" s="1">
        <v>938</v>
      </c>
      <c r="B150" s="1" t="s">
        <v>106</v>
      </c>
      <c r="C150" s="1" t="s">
        <v>107</v>
      </c>
      <c r="E150" s="1" t="s">
        <v>107</v>
      </c>
      <c r="F150" s="1">
        <v>2294842</v>
      </c>
      <c r="H150" s="4">
        <v>44881</v>
      </c>
      <c r="I150" s="1" t="s">
        <v>19</v>
      </c>
      <c r="J150" s="1">
        <v>100</v>
      </c>
    </row>
    <row r="151" spans="1:10" x14ac:dyDescent="0.2">
      <c r="A151" s="1">
        <v>937</v>
      </c>
      <c r="B151" s="1" t="s">
        <v>106</v>
      </c>
      <c r="C151" s="1" t="s">
        <v>107</v>
      </c>
      <c r="E151" s="1" t="s">
        <v>107</v>
      </c>
      <c r="F151" s="1">
        <v>2294842</v>
      </c>
      <c r="H151" s="4">
        <v>44880</v>
      </c>
      <c r="I151" s="1" t="s">
        <v>11</v>
      </c>
      <c r="J151" s="1">
        <v>500</v>
      </c>
    </row>
    <row r="152" spans="1:10" x14ac:dyDescent="0.2">
      <c r="A152" s="1">
        <v>937</v>
      </c>
      <c r="B152" s="1" t="s">
        <v>106</v>
      </c>
      <c r="C152" s="1" t="s">
        <v>107</v>
      </c>
      <c r="E152" s="1" t="s">
        <v>107</v>
      </c>
      <c r="F152" s="1">
        <v>2294842</v>
      </c>
      <c r="H152" s="4">
        <v>44880</v>
      </c>
      <c r="I152" s="1" t="s">
        <v>27</v>
      </c>
      <c r="J152" s="1">
        <v>200</v>
      </c>
    </row>
    <row r="153" spans="1:10" x14ac:dyDescent="0.2">
      <c r="A153" s="1">
        <v>936</v>
      </c>
      <c r="B153" s="1" t="s">
        <v>193</v>
      </c>
      <c r="C153" s="1" t="s">
        <v>194</v>
      </c>
      <c r="E153" s="1" t="s">
        <v>194</v>
      </c>
      <c r="F153" s="1">
        <v>2294175</v>
      </c>
      <c r="H153" s="4">
        <v>44880</v>
      </c>
      <c r="I153" s="1" t="s">
        <v>46</v>
      </c>
      <c r="J153" s="1">
        <v>500</v>
      </c>
    </row>
    <row r="154" spans="1:10" x14ac:dyDescent="0.2">
      <c r="A154" s="1">
        <v>935</v>
      </c>
      <c r="B154" s="1" t="s">
        <v>106</v>
      </c>
      <c r="C154" s="1" t="s">
        <v>107</v>
      </c>
      <c r="E154" s="1" t="s">
        <v>107</v>
      </c>
      <c r="F154" s="1">
        <v>2294842</v>
      </c>
      <c r="H154" s="4">
        <v>44879</v>
      </c>
      <c r="I154" s="1" t="s">
        <v>19</v>
      </c>
      <c r="J154" s="1">
        <v>100</v>
      </c>
    </row>
    <row r="155" spans="1:10" x14ac:dyDescent="0.2">
      <c r="A155" s="1">
        <v>935</v>
      </c>
      <c r="B155" s="1" t="s">
        <v>106</v>
      </c>
      <c r="C155" s="1" t="s">
        <v>107</v>
      </c>
      <c r="E155" s="1" t="s">
        <v>107</v>
      </c>
      <c r="F155" s="1">
        <v>2294842</v>
      </c>
      <c r="H155" s="4">
        <v>44879</v>
      </c>
      <c r="I155" s="1" t="s">
        <v>11</v>
      </c>
      <c r="J155" s="1">
        <v>10</v>
      </c>
    </row>
    <row r="156" spans="1:10" x14ac:dyDescent="0.2">
      <c r="A156" s="1">
        <v>934</v>
      </c>
      <c r="B156" s="1" t="s">
        <v>106</v>
      </c>
      <c r="C156" s="1" t="s">
        <v>107</v>
      </c>
      <c r="E156" s="1" t="s">
        <v>107</v>
      </c>
      <c r="F156" s="1">
        <v>2294842</v>
      </c>
      <c r="H156" s="4">
        <v>44879</v>
      </c>
      <c r="I156" s="1" t="s">
        <v>11</v>
      </c>
      <c r="J156" s="1">
        <v>500</v>
      </c>
    </row>
    <row r="157" spans="1:10" x14ac:dyDescent="0.2">
      <c r="A157" s="1">
        <v>934</v>
      </c>
      <c r="B157" s="1" t="s">
        <v>106</v>
      </c>
      <c r="C157" s="1" t="s">
        <v>107</v>
      </c>
      <c r="E157" s="1" t="s">
        <v>107</v>
      </c>
      <c r="F157" s="1">
        <v>2294842</v>
      </c>
      <c r="H157" s="4">
        <v>44879</v>
      </c>
      <c r="I157" s="1" t="s">
        <v>19</v>
      </c>
      <c r="J157" s="1">
        <v>200</v>
      </c>
    </row>
    <row r="158" spans="1:10" x14ac:dyDescent="0.2">
      <c r="A158" s="1">
        <v>933</v>
      </c>
      <c r="B158" s="1" t="s">
        <v>161</v>
      </c>
      <c r="C158" s="1" t="s">
        <v>162</v>
      </c>
      <c r="E158" s="1" t="s">
        <v>162</v>
      </c>
      <c r="F158" s="1">
        <v>2294453</v>
      </c>
      <c r="H158" s="4">
        <v>44874</v>
      </c>
      <c r="I158" s="1" t="s">
        <v>7</v>
      </c>
      <c r="J158" s="1">
        <v>200</v>
      </c>
    </row>
    <row r="159" spans="1:10" x14ac:dyDescent="0.2">
      <c r="A159" s="1">
        <v>933</v>
      </c>
      <c r="B159" s="1" t="s">
        <v>161</v>
      </c>
      <c r="C159" s="1" t="s">
        <v>162</v>
      </c>
      <c r="E159" s="1" t="s">
        <v>162</v>
      </c>
      <c r="F159" s="1">
        <v>2294453</v>
      </c>
      <c r="H159" s="4">
        <v>44874</v>
      </c>
      <c r="I159" s="1" t="s">
        <v>1</v>
      </c>
      <c r="J159" s="1">
        <v>500</v>
      </c>
    </row>
    <row r="160" spans="1:10" x14ac:dyDescent="0.2">
      <c r="A160" s="1">
        <v>931</v>
      </c>
      <c r="B160" s="1" t="s">
        <v>195</v>
      </c>
      <c r="C160" s="1" t="s">
        <v>196</v>
      </c>
      <c r="E160" s="1" t="s">
        <v>196</v>
      </c>
      <c r="F160" s="1">
        <v>2295060</v>
      </c>
      <c r="H160" s="4">
        <v>44874</v>
      </c>
      <c r="I160" s="1" t="s">
        <v>12</v>
      </c>
      <c r="J160" s="1">
        <v>200</v>
      </c>
    </row>
    <row r="161" spans="1:10" x14ac:dyDescent="0.2">
      <c r="A161" s="1">
        <v>931</v>
      </c>
      <c r="B161" s="1" t="s">
        <v>195</v>
      </c>
      <c r="C161" s="1" t="s">
        <v>196</v>
      </c>
      <c r="E161" s="1" t="s">
        <v>196</v>
      </c>
      <c r="F161" s="1">
        <v>2295060</v>
      </c>
      <c r="H161" s="4">
        <v>44874</v>
      </c>
      <c r="I161" s="1" t="s">
        <v>7</v>
      </c>
      <c r="J161" s="1">
        <v>300</v>
      </c>
    </row>
    <row r="162" spans="1:10" x14ac:dyDescent="0.2">
      <c r="A162" s="1">
        <v>931</v>
      </c>
      <c r="B162" s="1" t="s">
        <v>195</v>
      </c>
      <c r="C162" s="1" t="s">
        <v>196</v>
      </c>
      <c r="E162" s="1" t="s">
        <v>196</v>
      </c>
      <c r="F162" s="1">
        <v>2295060</v>
      </c>
      <c r="H162" s="4">
        <v>44874</v>
      </c>
      <c r="I162" s="1" t="s">
        <v>1</v>
      </c>
      <c r="J162" s="1">
        <v>300</v>
      </c>
    </row>
    <row r="163" spans="1:10" x14ac:dyDescent="0.2">
      <c r="A163" s="1">
        <v>929</v>
      </c>
      <c r="B163" s="1" t="s">
        <v>197</v>
      </c>
      <c r="C163" s="1" t="s">
        <v>198</v>
      </c>
      <c r="E163" s="1" t="s">
        <v>198</v>
      </c>
      <c r="F163" s="1">
        <v>2294633</v>
      </c>
      <c r="H163" s="4">
        <v>44873</v>
      </c>
      <c r="I163" s="1" t="s">
        <v>1</v>
      </c>
      <c r="J163" s="1">
        <v>0.75</v>
      </c>
    </row>
    <row r="164" spans="1:10" x14ac:dyDescent="0.2">
      <c r="A164" s="1">
        <v>929</v>
      </c>
      <c r="B164" s="1" t="s">
        <v>197</v>
      </c>
      <c r="C164" s="1" t="s">
        <v>198</v>
      </c>
      <c r="E164" s="1" t="s">
        <v>198</v>
      </c>
      <c r="F164" s="1">
        <v>2294633</v>
      </c>
      <c r="H164" s="4">
        <v>44873</v>
      </c>
      <c r="I164" s="1" t="s">
        <v>7</v>
      </c>
      <c r="J164" s="1">
        <v>200</v>
      </c>
    </row>
    <row r="165" spans="1:10" x14ac:dyDescent="0.2">
      <c r="A165" s="1">
        <v>928</v>
      </c>
      <c r="B165" s="1" t="s">
        <v>191</v>
      </c>
      <c r="C165" s="1" t="s">
        <v>192</v>
      </c>
      <c r="E165" s="1" t="s">
        <v>192</v>
      </c>
      <c r="F165" s="1">
        <v>2293589</v>
      </c>
      <c r="H165" s="4">
        <v>44873</v>
      </c>
      <c r="I165" s="1" t="s">
        <v>1</v>
      </c>
      <c r="J165" s="1">
        <v>200</v>
      </c>
    </row>
    <row r="166" spans="1:10" x14ac:dyDescent="0.2">
      <c r="A166" s="1">
        <v>928</v>
      </c>
      <c r="B166" s="1" t="s">
        <v>191</v>
      </c>
      <c r="C166" s="1" t="s">
        <v>192</v>
      </c>
      <c r="E166" s="1" t="s">
        <v>192</v>
      </c>
      <c r="F166" s="1">
        <v>2293589</v>
      </c>
      <c r="H166" s="4">
        <v>44873</v>
      </c>
      <c r="I166" s="1" t="s">
        <v>7</v>
      </c>
      <c r="J166" s="1">
        <v>300</v>
      </c>
    </row>
    <row r="167" spans="1:10" x14ac:dyDescent="0.2">
      <c r="A167" s="1">
        <v>927</v>
      </c>
      <c r="B167" s="1" t="s">
        <v>199</v>
      </c>
      <c r="C167" s="1" t="s">
        <v>200</v>
      </c>
      <c r="D167" s="1">
        <v>5555555555</v>
      </c>
      <c r="E167" s="1" t="s">
        <v>200</v>
      </c>
      <c r="F167" s="1">
        <v>2295137</v>
      </c>
      <c r="H167" s="4">
        <v>44868</v>
      </c>
      <c r="I167" s="1" t="s">
        <v>31</v>
      </c>
      <c r="J167" s="1">
        <v>300</v>
      </c>
    </row>
    <row r="168" spans="1:10" x14ac:dyDescent="0.2">
      <c r="A168" s="1">
        <v>927</v>
      </c>
      <c r="B168" s="1" t="s">
        <v>199</v>
      </c>
      <c r="C168" s="1" t="s">
        <v>200</v>
      </c>
      <c r="D168" s="1">
        <v>5555555555</v>
      </c>
      <c r="E168" s="1" t="s">
        <v>200</v>
      </c>
      <c r="F168" s="1">
        <v>2295137</v>
      </c>
      <c r="H168" s="4">
        <v>44868</v>
      </c>
      <c r="I168" s="1" t="s">
        <v>3</v>
      </c>
      <c r="J168" s="1">
        <v>200</v>
      </c>
    </row>
    <row r="169" spans="1:10" x14ac:dyDescent="0.2">
      <c r="A169" s="1">
        <v>926</v>
      </c>
      <c r="B169" s="1" t="s">
        <v>144</v>
      </c>
      <c r="C169" s="1" t="s">
        <v>145</v>
      </c>
      <c r="E169" s="1" t="s">
        <v>145</v>
      </c>
      <c r="F169" s="1">
        <v>2294845</v>
      </c>
      <c r="H169" s="4">
        <v>44867</v>
      </c>
      <c r="I169" s="1" t="s">
        <v>1</v>
      </c>
      <c r="J169" s="1">
        <v>100</v>
      </c>
    </row>
    <row r="170" spans="1:10" x14ac:dyDescent="0.2">
      <c r="A170" s="1">
        <v>926</v>
      </c>
      <c r="B170" s="1" t="s">
        <v>144</v>
      </c>
      <c r="C170" s="1" t="s">
        <v>145</v>
      </c>
      <c r="E170" s="1" t="s">
        <v>145</v>
      </c>
      <c r="F170" s="1">
        <v>2294845</v>
      </c>
      <c r="H170" s="4">
        <v>44867</v>
      </c>
      <c r="I170" s="1" t="s">
        <v>7</v>
      </c>
      <c r="J170" s="1">
        <v>100</v>
      </c>
    </row>
    <row r="171" spans="1:10" x14ac:dyDescent="0.2">
      <c r="A171" s="1">
        <v>924</v>
      </c>
      <c r="B171" s="1" t="s">
        <v>201</v>
      </c>
      <c r="C171" s="1" t="s">
        <v>172</v>
      </c>
      <c r="E171" s="1" t="s">
        <v>173</v>
      </c>
      <c r="F171" s="1">
        <v>2294497</v>
      </c>
      <c r="H171" s="4">
        <v>44867</v>
      </c>
      <c r="I171" s="1" t="s">
        <v>28</v>
      </c>
      <c r="J171" s="1">
        <v>300</v>
      </c>
    </row>
    <row r="172" spans="1:10" x14ac:dyDescent="0.2">
      <c r="A172" s="1">
        <v>921</v>
      </c>
      <c r="B172" s="1" t="s">
        <v>142</v>
      </c>
      <c r="C172" s="1" t="s">
        <v>143</v>
      </c>
      <c r="E172" s="1" t="s">
        <v>143</v>
      </c>
      <c r="F172" s="1">
        <v>2293735</v>
      </c>
      <c r="H172" s="4">
        <v>44866</v>
      </c>
      <c r="I172" s="1" t="s">
        <v>1</v>
      </c>
      <c r="J172" s="1">
        <v>200</v>
      </c>
    </row>
    <row r="173" spans="1:10" x14ac:dyDescent="0.2">
      <c r="A173" s="1">
        <v>921</v>
      </c>
      <c r="B173" s="1" t="s">
        <v>142</v>
      </c>
      <c r="C173" s="1" t="s">
        <v>143</v>
      </c>
      <c r="E173" s="1" t="s">
        <v>143</v>
      </c>
      <c r="F173" s="1">
        <v>2293735</v>
      </c>
      <c r="H173" s="4">
        <v>44866</v>
      </c>
      <c r="I173" s="1" t="s">
        <v>7</v>
      </c>
      <c r="J173" s="1">
        <v>500</v>
      </c>
    </row>
    <row r="174" spans="1:10" x14ac:dyDescent="0.2">
      <c r="A174" s="1">
        <v>919</v>
      </c>
      <c r="B174" s="1" t="s">
        <v>106</v>
      </c>
      <c r="C174" s="1" t="s">
        <v>107</v>
      </c>
      <c r="E174" s="1" t="s">
        <v>107</v>
      </c>
      <c r="F174" s="1">
        <v>2294842</v>
      </c>
      <c r="H174" s="4">
        <v>44866</v>
      </c>
      <c r="I174" s="1" t="s">
        <v>19</v>
      </c>
      <c r="J174" s="1">
        <v>200</v>
      </c>
    </row>
    <row r="175" spans="1:10" x14ac:dyDescent="0.2">
      <c r="A175" s="1">
        <v>919</v>
      </c>
      <c r="B175" s="1" t="s">
        <v>106</v>
      </c>
      <c r="C175" s="1" t="s">
        <v>107</v>
      </c>
      <c r="E175" s="1" t="s">
        <v>107</v>
      </c>
      <c r="F175" s="1">
        <v>2294842</v>
      </c>
      <c r="H175" s="4">
        <v>44866</v>
      </c>
      <c r="I175" s="1" t="s">
        <v>27</v>
      </c>
      <c r="J175" s="1">
        <v>300</v>
      </c>
    </row>
    <row r="176" spans="1:10" x14ac:dyDescent="0.2">
      <c r="A176" s="1">
        <v>919</v>
      </c>
      <c r="B176" s="1" t="s">
        <v>106</v>
      </c>
      <c r="C176" s="1" t="s">
        <v>107</v>
      </c>
      <c r="E176" s="1" t="s">
        <v>107</v>
      </c>
      <c r="F176" s="1">
        <v>2294842</v>
      </c>
      <c r="H176" s="4">
        <v>44866</v>
      </c>
      <c r="I176" s="1" t="s">
        <v>11</v>
      </c>
      <c r="J176" s="1">
        <v>500</v>
      </c>
    </row>
    <row r="177" spans="1:10" x14ac:dyDescent="0.2">
      <c r="A177" s="1">
        <v>918</v>
      </c>
      <c r="B177" s="1" t="s">
        <v>191</v>
      </c>
      <c r="C177" s="1" t="s">
        <v>192</v>
      </c>
      <c r="E177" s="1" t="s">
        <v>192</v>
      </c>
      <c r="F177" s="1">
        <v>2293589</v>
      </c>
      <c r="H177" s="4">
        <v>44866</v>
      </c>
      <c r="I177" s="1" t="s">
        <v>1</v>
      </c>
      <c r="J177" s="1">
        <v>100</v>
      </c>
    </row>
    <row r="178" spans="1:10" x14ac:dyDescent="0.2">
      <c r="A178" s="1">
        <v>918</v>
      </c>
      <c r="B178" s="1" t="s">
        <v>191</v>
      </c>
      <c r="C178" s="1" t="s">
        <v>192</v>
      </c>
      <c r="E178" s="1" t="s">
        <v>192</v>
      </c>
      <c r="F178" s="1">
        <v>2293589</v>
      </c>
      <c r="H178" s="4">
        <v>44866</v>
      </c>
      <c r="I178" s="1" t="s">
        <v>7</v>
      </c>
      <c r="J178" s="1">
        <v>200</v>
      </c>
    </row>
    <row r="179" spans="1:10" x14ac:dyDescent="0.2">
      <c r="A179" s="1">
        <v>916</v>
      </c>
      <c r="C179" s="1" t="s">
        <v>202</v>
      </c>
      <c r="F179" s="1">
        <v>2295310</v>
      </c>
      <c r="H179" s="4">
        <v>44862</v>
      </c>
      <c r="I179" s="1" t="s">
        <v>21</v>
      </c>
      <c r="J179" s="1">
        <v>300</v>
      </c>
    </row>
    <row r="180" spans="1:10" x14ac:dyDescent="0.2">
      <c r="A180" s="1">
        <v>911</v>
      </c>
      <c r="B180" s="1" t="s">
        <v>203</v>
      </c>
      <c r="C180" s="1" t="s">
        <v>204</v>
      </c>
      <c r="E180" s="1" t="s">
        <v>204</v>
      </c>
      <c r="F180" s="1">
        <v>2295440</v>
      </c>
      <c r="H180" s="4">
        <v>44861</v>
      </c>
      <c r="I180" s="1" t="s">
        <v>4</v>
      </c>
      <c r="J180" s="1">
        <v>200</v>
      </c>
    </row>
    <row r="181" spans="1:10" x14ac:dyDescent="0.2">
      <c r="A181" s="1">
        <v>909</v>
      </c>
      <c r="B181" s="1" t="s">
        <v>106</v>
      </c>
      <c r="C181" s="1" t="s">
        <v>107</v>
      </c>
      <c r="E181" s="1" t="s">
        <v>107</v>
      </c>
      <c r="F181" s="1">
        <v>2294842</v>
      </c>
      <c r="H181" s="4">
        <v>44861</v>
      </c>
      <c r="I181" s="1" t="s">
        <v>19</v>
      </c>
      <c r="J181" s="1">
        <v>58</v>
      </c>
    </row>
    <row r="182" spans="1:10" x14ac:dyDescent="0.2">
      <c r="A182" s="1">
        <v>909</v>
      </c>
      <c r="B182" s="1" t="s">
        <v>106</v>
      </c>
      <c r="C182" s="1" t="s">
        <v>107</v>
      </c>
      <c r="E182" s="1" t="s">
        <v>107</v>
      </c>
      <c r="F182" s="1">
        <v>2294842</v>
      </c>
      <c r="H182" s="4">
        <v>44861</v>
      </c>
      <c r="I182" s="1" t="s">
        <v>1</v>
      </c>
      <c r="J182" s="1">
        <v>150</v>
      </c>
    </row>
    <row r="183" spans="1:10" x14ac:dyDescent="0.2">
      <c r="A183" s="1">
        <v>909</v>
      </c>
      <c r="B183" s="1" t="s">
        <v>106</v>
      </c>
      <c r="C183" s="1" t="s">
        <v>107</v>
      </c>
      <c r="E183" s="1" t="s">
        <v>107</v>
      </c>
      <c r="F183" s="1">
        <v>2294842</v>
      </c>
      <c r="H183" s="4">
        <v>44861</v>
      </c>
      <c r="I183" s="1" t="s">
        <v>11</v>
      </c>
      <c r="J183" s="1">
        <v>500</v>
      </c>
    </row>
    <row r="184" spans="1:10" x14ac:dyDescent="0.2">
      <c r="A184" s="1">
        <v>908</v>
      </c>
      <c r="B184" s="1" t="s">
        <v>205</v>
      </c>
      <c r="C184" s="1" t="s">
        <v>206</v>
      </c>
      <c r="F184" s="1">
        <v>2294579</v>
      </c>
      <c r="H184" s="4">
        <v>44501</v>
      </c>
      <c r="I184" s="1" t="s">
        <v>1</v>
      </c>
      <c r="J184" s="1">
        <v>200</v>
      </c>
    </row>
    <row r="185" spans="1:10" x14ac:dyDescent="0.2">
      <c r="A185" s="1">
        <v>908</v>
      </c>
      <c r="B185" s="1" t="s">
        <v>205</v>
      </c>
      <c r="C185" s="1" t="s">
        <v>206</v>
      </c>
      <c r="F185" s="1">
        <v>2294579</v>
      </c>
      <c r="H185" s="4">
        <v>44501</v>
      </c>
      <c r="I185" s="1" t="s">
        <v>19</v>
      </c>
      <c r="J185" s="1">
        <v>300</v>
      </c>
    </row>
    <row r="186" spans="1:10" x14ac:dyDescent="0.2">
      <c r="A186" s="1">
        <v>907</v>
      </c>
      <c r="B186" s="1" t="s">
        <v>151</v>
      </c>
      <c r="C186" s="1" t="s">
        <v>152</v>
      </c>
      <c r="E186" s="1" t="s">
        <v>152</v>
      </c>
      <c r="F186" s="1">
        <v>2295244</v>
      </c>
      <c r="H186" s="4">
        <v>44825</v>
      </c>
      <c r="I186" s="1" t="s">
        <v>56</v>
      </c>
      <c r="J186" s="1">
        <v>200</v>
      </c>
    </row>
    <row r="187" spans="1:10" x14ac:dyDescent="0.2">
      <c r="A187" s="1">
        <v>907</v>
      </c>
      <c r="B187" s="1" t="s">
        <v>151</v>
      </c>
      <c r="C187" s="1" t="s">
        <v>152</v>
      </c>
      <c r="E187" s="1" t="s">
        <v>152</v>
      </c>
      <c r="F187" s="1">
        <v>2295244</v>
      </c>
      <c r="H187" s="4">
        <v>44825</v>
      </c>
      <c r="I187" s="1" t="s">
        <v>3</v>
      </c>
      <c r="J187" s="1">
        <v>300</v>
      </c>
    </row>
    <row r="188" spans="1:10" x14ac:dyDescent="0.2">
      <c r="A188" s="1">
        <v>906</v>
      </c>
      <c r="B188" s="1" t="s">
        <v>106</v>
      </c>
      <c r="C188" s="1" t="s">
        <v>107</v>
      </c>
      <c r="E188" s="1" t="s">
        <v>107</v>
      </c>
      <c r="F188" s="1">
        <v>2294842</v>
      </c>
      <c r="H188" s="4">
        <v>44854</v>
      </c>
      <c r="I188" s="1" t="s">
        <v>19</v>
      </c>
      <c r="J188" s="1">
        <v>100</v>
      </c>
    </row>
    <row r="189" spans="1:10" x14ac:dyDescent="0.2">
      <c r="A189" s="1">
        <v>906</v>
      </c>
      <c r="B189" s="1" t="s">
        <v>106</v>
      </c>
      <c r="C189" s="1" t="s">
        <v>107</v>
      </c>
      <c r="E189" s="1" t="s">
        <v>107</v>
      </c>
      <c r="F189" s="1">
        <v>2294842</v>
      </c>
      <c r="H189" s="4">
        <v>44854</v>
      </c>
      <c r="I189" s="1" t="s">
        <v>11</v>
      </c>
      <c r="J189" s="1">
        <v>100</v>
      </c>
    </row>
    <row r="190" spans="1:10" x14ac:dyDescent="0.2">
      <c r="A190" s="1">
        <v>904</v>
      </c>
      <c r="B190" s="1" t="s">
        <v>151</v>
      </c>
      <c r="C190" s="1" t="s">
        <v>152</v>
      </c>
      <c r="F190" s="1">
        <v>2295244</v>
      </c>
      <c r="H190" s="4">
        <v>44854</v>
      </c>
      <c r="I190" s="1" t="s">
        <v>1</v>
      </c>
      <c r="J190" s="1">
        <v>400</v>
      </c>
    </row>
    <row r="191" spans="1:10" x14ac:dyDescent="0.2">
      <c r="A191" s="1">
        <v>902</v>
      </c>
      <c r="C191" s="1" t="s">
        <v>207</v>
      </c>
      <c r="F191" s="1">
        <v>2293744</v>
      </c>
      <c r="H191" s="4">
        <v>44853</v>
      </c>
      <c r="I191" s="1" t="s">
        <v>2</v>
      </c>
      <c r="J191" s="1">
        <v>500</v>
      </c>
    </row>
    <row r="192" spans="1:10" x14ac:dyDescent="0.2">
      <c r="A192" s="1">
        <v>901</v>
      </c>
      <c r="B192" s="1" t="s">
        <v>108</v>
      </c>
      <c r="C192" s="1" t="s">
        <v>109</v>
      </c>
      <c r="E192" s="1" t="s">
        <v>109</v>
      </c>
      <c r="F192" s="1">
        <v>2294455</v>
      </c>
      <c r="H192" s="4">
        <v>44852</v>
      </c>
      <c r="I192" s="1" t="s">
        <v>7</v>
      </c>
      <c r="J192" s="1">
        <v>300</v>
      </c>
    </row>
    <row r="193" spans="1:10" x14ac:dyDescent="0.2">
      <c r="A193" s="1">
        <v>900</v>
      </c>
      <c r="B193" s="1" t="s">
        <v>108</v>
      </c>
      <c r="C193" s="1" t="s">
        <v>109</v>
      </c>
      <c r="E193" s="1" t="s">
        <v>109</v>
      </c>
      <c r="F193" s="1">
        <v>2294455</v>
      </c>
      <c r="H193" s="4">
        <v>44852</v>
      </c>
      <c r="I193" s="1" t="s">
        <v>66</v>
      </c>
      <c r="J193" s="1">
        <v>25</v>
      </c>
    </row>
    <row r="194" spans="1:10" x14ac:dyDescent="0.2">
      <c r="A194" s="1">
        <v>900</v>
      </c>
      <c r="B194" s="1" t="s">
        <v>108</v>
      </c>
      <c r="C194" s="1" t="s">
        <v>109</v>
      </c>
      <c r="E194" s="1" t="s">
        <v>109</v>
      </c>
      <c r="F194" s="1">
        <v>2294455</v>
      </c>
      <c r="H194" s="4">
        <v>44852</v>
      </c>
      <c r="I194" s="1" t="s">
        <v>5</v>
      </c>
      <c r="J194" s="1">
        <v>200</v>
      </c>
    </row>
    <row r="195" spans="1:10" x14ac:dyDescent="0.2">
      <c r="A195" s="1">
        <v>897</v>
      </c>
      <c r="B195" s="1" t="s">
        <v>208</v>
      </c>
      <c r="C195" s="1" t="s">
        <v>209</v>
      </c>
      <c r="E195" s="1" t="s">
        <v>209</v>
      </c>
      <c r="F195" s="1">
        <v>2294417</v>
      </c>
      <c r="H195" s="4">
        <v>44852</v>
      </c>
      <c r="I195" s="1" t="s">
        <v>1</v>
      </c>
      <c r="J195" s="1">
        <v>75</v>
      </c>
    </row>
    <row r="196" spans="1:10" x14ac:dyDescent="0.2">
      <c r="A196" s="1">
        <v>897</v>
      </c>
      <c r="B196" s="1" t="s">
        <v>208</v>
      </c>
      <c r="C196" s="1" t="s">
        <v>209</v>
      </c>
      <c r="E196" s="1" t="s">
        <v>209</v>
      </c>
      <c r="F196" s="1">
        <v>2294417</v>
      </c>
      <c r="H196" s="4">
        <v>44852</v>
      </c>
      <c r="I196" s="1" t="s">
        <v>7</v>
      </c>
      <c r="J196" s="1">
        <v>1250</v>
      </c>
    </row>
    <row r="197" spans="1:10" x14ac:dyDescent="0.2">
      <c r="A197" s="1">
        <v>893</v>
      </c>
      <c r="B197" s="1" t="s">
        <v>210</v>
      </c>
      <c r="C197" s="1" t="s">
        <v>211</v>
      </c>
      <c r="F197" s="1">
        <v>2294366</v>
      </c>
      <c r="H197" s="4">
        <v>44848</v>
      </c>
      <c r="I197" s="1" t="s">
        <v>1</v>
      </c>
      <c r="J197" s="1">
        <v>300</v>
      </c>
    </row>
    <row r="198" spans="1:10" x14ac:dyDescent="0.2">
      <c r="A198" s="1">
        <v>891</v>
      </c>
      <c r="C198" s="1" t="s">
        <v>212</v>
      </c>
      <c r="F198" s="1">
        <v>2294330</v>
      </c>
      <c r="H198" s="4">
        <v>44848</v>
      </c>
      <c r="I198" s="1" t="s">
        <v>5</v>
      </c>
      <c r="J198" s="1">
        <v>200</v>
      </c>
    </row>
    <row r="199" spans="1:10" x14ac:dyDescent="0.2">
      <c r="A199" s="1">
        <v>891</v>
      </c>
      <c r="C199" s="1" t="s">
        <v>212</v>
      </c>
      <c r="F199" s="1">
        <v>2294330</v>
      </c>
      <c r="H199" s="4">
        <v>44848</v>
      </c>
      <c r="I199" s="1" t="s">
        <v>18</v>
      </c>
      <c r="J199" s="1">
        <v>300</v>
      </c>
    </row>
    <row r="200" spans="1:10" x14ac:dyDescent="0.2">
      <c r="A200" s="1">
        <v>889</v>
      </c>
      <c r="B200" s="1" t="s">
        <v>213</v>
      </c>
      <c r="C200" s="1" t="s">
        <v>214</v>
      </c>
      <c r="E200" s="1" t="s">
        <v>214</v>
      </c>
      <c r="F200" s="1">
        <v>2294469</v>
      </c>
      <c r="H200" s="4">
        <v>44848</v>
      </c>
      <c r="I200" s="1" t="s">
        <v>4</v>
      </c>
      <c r="J200" s="1">
        <v>125</v>
      </c>
    </row>
    <row r="201" spans="1:10" x14ac:dyDescent="0.2">
      <c r="A201" s="1">
        <v>886</v>
      </c>
      <c r="B201" s="1" t="s">
        <v>142</v>
      </c>
      <c r="C201" s="1" t="s">
        <v>143</v>
      </c>
      <c r="E201" s="1" t="s">
        <v>143</v>
      </c>
      <c r="F201" s="1">
        <v>2293735</v>
      </c>
      <c r="H201" s="4">
        <v>44847</v>
      </c>
      <c r="I201" s="1" t="s">
        <v>12</v>
      </c>
      <c r="J201" s="1">
        <v>1250</v>
      </c>
    </row>
    <row r="202" spans="1:10" x14ac:dyDescent="0.2">
      <c r="A202" s="1">
        <v>886</v>
      </c>
      <c r="B202" s="1" t="s">
        <v>142</v>
      </c>
      <c r="C202" s="1" t="s">
        <v>143</v>
      </c>
      <c r="E202" s="1" t="s">
        <v>143</v>
      </c>
      <c r="F202" s="1">
        <v>2293735</v>
      </c>
      <c r="H202" s="4">
        <v>44847</v>
      </c>
      <c r="I202" s="1" t="s">
        <v>1</v>
      </c>
      <c r="J202" s="1">
        <v>150</v>
      </c>
    </row>
    <row r="203" spans="1:10" x14ac:dyDescent="0.2">
      <c r="A203" s="1">
        <v>876</v>
      </c>
      <c r="B203" s="1" t="s">
        <v>215</v>
      </c>
      <c r="C203" s="1" t="s">
        <v>216</v>
      </c>
      <c r="E203" s="1" t="s">
        <v>216</v>
      </c>
      <c r="F203" s="1">
        <v>2295430</v>
      </c>
      <c r="H203" s="4">
        <v>44845</v>
      </c>
      <c r="I203" s="1" t="s">
        <v>4</v>
      </c>
      <c r="J203" s="1">
        <v>0.75</v>
      </c>
    </row>
    <row r="204" spans="1:10" x14ac:dyDescent="0.2">
      <c r="A204" s="1">
        <v>873</v>
      </c>
      <c r="B204" s="1" t="s">
        <v>215</v>
      </c>
      <c r="C204" s="1" t="s">
        <v>216</v>
      </c>
      <c r="E204" s="1" t="s">
        <v>216</v>
      </c>
      <c r="F204" s="1">
        <v>2295430</v>
      </c>
      <c r="H204" s="4">
        <v>44845</v>
      </c>
      <c r="I204" s="1" t="s">
        <v>11</v>
      </c>
      <c r="J204" s="1">
        <v>300</v>
      </c>
    </row>
    <row r="205" spans="1:10" x14ac:dyDescent="0.2">
      <c r="A205" s="1">
        <v>873</v>
      </c>
      <c r="B205" s="1" t="s">
        <v>215</v>
      </c>
      <c r="C205" s="1" t="s">
        <v>216</v>
      </c>
      <c r="E205" s="1" t="s">
        <v>216</v>
      </c>
      <c r="F205" s="1">
        <v>2295430</v>
      </c>
      <c r="H205" s="4">
        <v>44845</v>
      </c>
      <c r="I205" s="1" t="s">
        <v>7</v>
      </c>
      <c r="J205" s="1">
        <v>150</v>
      </c>
    </row>
    <row r="206" spans="1:10" x14ac:dyDescent="0.2">
      <c r="A206" s="1">
        <v>871</v>
      </c>
      <c r="B206" s="1" t="s">
        <v>217</v>
      </c>
      <c r="C206" s="1" t="s">
        <v>218</v>
      </c>
      <c r="E206" s="1" t="s">
        <v>218</v>
      </c>
      <c r="F206" s="1">
        <v>2293756</v>
      </c>
      <c r="H206" s="4">
        <v>44841</v>
      </c>
      <c r="I206" s="1" t="s">
        <v>67</v>
      </c>
      <c r="J206" s="1">
        <v>500</v>
      </c>
    </row>
    <row r="207" spans="1:10" x14ac:dyDescent="0.2">
      <c r="A207" s="1">
        <v>868</v>
      </c>
      <c r="B207" s="1" t="s">
        <v>186</v>
      </c>
      <c r="C207" s="1" t="s">
        <v>187</v>
      </c>
      <c r="E207" s="1" t="s">
        <v>188</v>
      </c>
      <c r="F207" s="1">
        <v>2295294</v>
      </c>
      <c r="H207" s="4">
        <v>44840</v>
      </c>
      <c r="I207" s="1" t="s">
        <v>11</v>
      </c>
      <c r="J207" s="1">
        <v>200</v>
      </c>
    </row>
    <row r="208" spans="1:10" x14ac:dyDescent="0.2">
      <c r="A208" s="1">
        <v>867</v>
      </c>
      <c r="B208" s="1" t="s">
        <v>219</v>
      </c>
      <c r="C208" s="1" t="s">
        <v>220</v>
      </c>
      <c r="E208" s="1" t="s">
        <v>220</v>
      </c>
      <c r="F208" s="1">
        <v>2294806</v>
      </c>
      <c r="H208" s="4">
        <v>44840</v>
      </c>
      <c r="I208" s="1" t="s">
        <v>82</v>
      </c>
      <c r="J208" s="1">
        <v>90</v>
      </c>
    </row>
    <row r="209" spans="1:10" x14ac:dyDescent="0.2">
      <c r="A209" s="1">
        <v>866</v>
      </c>
      <c r="B209" s="1" t="s">
        <v>153</v>
      </c>
      <c r="C209" s="1" t="s">
        <v>154</v>
      </c>
      <c r="E209" s="1" t="s">
        <v>154</v>
      </c>
      <c r="F209" s="1">
        <v>2294485</v>
      </c>
      <c r="H209" s="4">
        <v>44838</v>
      </c>
      <c r="I209" s="1" t="s">
        <v>1</v>
      </c>
      <c r="J209" s="1">
        <v>500</v>
      </c>
    </row>
    <row r="210" spans="1:10" x14ac:dyDescent="0.2">
      <c r="A210" s="1">
        <v>864</v>
      </c>
      <c r="B210" s="1" t="s">
        <v>201</v>
      </c>
      <c r="C210" s="1" t="s">
        <v>172</v>
      </c>
      <c r="E210" s="1" t="s">
        <v>221</v>
      </c>
      <c r="F210" s="1">
        <v>2294497</v>
      </c>
      <c r="H210" s="4">
        <v>44838</v>
      </c>
      <c r="I210" s="1" t="s">
        <v>58</v>
      </c>
      <c r="J210" s="1">
        <v>40</v>
      </c>
    </row>
    <row r="211" spans="1:10" x14ac:dyDescent="0.2">
      <c r="A211" s="1">
        <v>864</v>
      </c>
      <c r="B211" s="1" t="s">
        <v>201</v>
      </c>
      <c r="C211" s="1" t="s">
        <v>172</v>
      </c>
      <c r="E211" s="1" t="s">
        <v>221</v>
      </c>
      <c r="F211" s="1">
        <v>2294497</v>
      </c>
      <c r="H211" s="4">
        <v>44838</v>
      </c>
      <c r="I211" s="1" t="s">
        <v>21</v>
      </c>
      <c r="J211" s="1">
        <v>300</v>
      </c>
    </row>
    <row r="212" spans="1:10" x14ac:dyDescent="0.2">
      <c r="A212" s="1">
        <v>862</v>
      </c>
      <c r="B212" s="1" t="s">
        <v>155</v>
      </c>
      <c r="C212" s="1" t="s">
        <v>156</v>
      </c>
      <c r="E212" s="1" t="s">
        <v>156</v>
      </c>
      <c r="F212" s="1">
        <v>2294603</v>
      </c>
      <c r="H212" s="4">
        <v>44838</v>
      </c>
      <c r="I212" s="1" t="s">
        <v>4</v>
      </c>
      <c r="J212" s="1">
        <v>50</v>
      </c>
    </row>
    <row r="213" spans="1:10" x14ac:dyDescent="0.2">
      <c r="A213" s="1">
        <v>859</v>
      </c>
      <c r="B213" s="1" t="s">
        <v>155</v>
      </c>
      <c r="C213" s="1" t="s">
        <v>156</v>
      </c>
      <c r="E213" s="1" t="s">
        <v>156</v>
      </c>
      <c r="F213" s="1">
        <v>2294603</v>
      </c>
      <c r="H213" s="4">
        <v>44838</v>
      </c>
      <c r="I213" s="1" t="s">
        <v>1</v>
      </c>
      <c r="J213" s="1">
        <v>58</v>
      </c>
    </row>
    <row r="214" spans="1:10" x14ac:dyDescent="0.2">
      <c r="A214" s="1">
        <v>859</v>
      </c>
      <c r="B214" s="1" t="s">
        <v>155</v>
      </c>
      <c r="C214" s="1" t="s">
        <v>156</v>
      </c>
      <c r="E214" s="1" t="s">
        <v>156</v>
      </c>
      <c r="F214" s="1">
        <v>2294603</v>
      </c>
      <c r="H214" s="4">
        <v>44838</v>
      </c>
      <c r="I214" s="1" t="s">
        <v>7</v>
      </c>
      <c r="J214" s="1">
        <v>150</v>
      </c>
    </row>
    <row r="215" spans="1:10" x14ac:dyDescent="0.2">
      <c r="A215" s="1">
        <v>858</v>
      </c>
      <c r="B215" s="1" t="s">
        <v>140</v>
      </c>
      <c r="C215" s="1" t="s">
        <v>141</v>
      </c>
      <c r="F215" s="1">
        <v>2295202</v>
      </c>
      <c r="H215" s="4">
        <v>44837</v>
      </c>
      <c r="I215" s="1" t="s">
        <v>5</v>
      </c>
      <c r="J215" s="1">
        <v>300</v>
      </c>
    </row>
    <row r="216" spans="1:10" x14ac:dyDescent="0.2">
      <c r="A216" s="1">
        <v>858</v>
      </c>
      <c r="B216" s="1" t="s">
        <v>140</v>
      </c>
      <c r="C216" s="1" t="s">
        <v>141</v>
      </c>
      <c r="F216" s="1">
        <v>2295202</v>
      </c>
      <c r="H216" s="4">
        <v>44837</v>
      </c>
      <c r="I216" s="1" t="s">
        <v>28</v>
      </c>
      <c r="J216" s="1">
        <v>200</v>
      </c>
    </row>
    <row r="217" spans="1:10" x14ac:dyDescent="0.2">
      <c r="A217" s="1">
        <v>856</v>
      </c>
      <c r="B217" s="1" t="s">
        <v>151</v>
      </c>
      <c r="C217" s="1" t="s">
        <v>152</v>
      </c>
      <c r="E217" s="1" t="s">
        <v>152</v>
      </c>
      <c r="F217" s="1">
        <v>2295244</v>
      </c>
      <c r="H217" s="4">
        <v>44841</v>
      </c>
      <c r="I217" s="1" t="s">
        <v>74</v>
      </c>
      <c r="J217" s="1">
        <v>500</v>
      </c>
    </row>
    <row r="218" spans="1:10" x14ac:dyDescent="0.2">
      <c r="A218" s="1">
        <v>856</v>
      </c>
      <c r="B218" s="1" t="s">
        <v>151</v>
      </c>
      <c r="C218" s="1" t="s">
        <v>152</v>
      </c>
      <c r="E218" s="1" t="s">
        <v>152</v>
      </c>
      <c r="F218" s="1">
        <v>2295244</v>
      </c>
      <c r="H218" s="4">
        <v>44842</v>
      </c>
      <c r="I218" s="1" t="s">
        <v>72</v>
      </c>
      <c r="J218" s="1">
        <v>1250</v>
      </c>
    </row>
    <row r="219" spans="1:10" x14ac:dyDescent="0.2">
      <c r="A219" s="1">
        <v>855</v>
      </c>
      <c r="B219" s="1" t="s">
        <v>222</v>
      </c>
      <c r="C219" s="1" t="s">
        <v>223</v>
      </c>
      <c r="E219" s="1" t="s">
        <v>223</v>
      </c>
      <c r="F219" s="1">
        <v>2294796</v>
      </c>
      <c r="H219" s="4">
        <v>44425</v>
      </c>
      <c r="I219" s="1" t="s">
        <v>12</v>
      </c>
      <c r="J219" s="1">
        <v>10</v>
      </c>
    </row>
    <row r="220" spans="1:10" x14ac:dyDescent="0.2">
      <c r="A220" s="1">
        <v>855</v>
      </c>
      <c r="B220" s="1" t="s">
        <v>222</v>
      </c>
      <c r="C220" s="1" t="s">
        <v>223</v>
      </c>
      <c r="E220" s="1" t="s">
        <v>223</v>
      </c>
      <c r="F220" s="1">
        <v>2294796</v>
      </c>
      <c r="H220" s="4">
        <v>44973</v>
      </c>
      <c r="I220" s="1" t="s">
        <v>1</v>
      </c>
      <c r="J220" s="1">
        <v>100</v>
      </c>
    </row>
    <row r="221" spans="1:10" x14ac:dyDescent="0.2">
      <c r="A221" s="1">
        <v>854</v>
      </c>
      <c r="B221" s="1" t="s">
        <v>193</v>
      </c>
      <c r="C221" s="1" t="s">
        <v>194</v>
      </c>
      <c r="E221" s="1" t="s">
        <v>194</v>
      </c>
      <c r="F221" s="1">
        <v>2294175</v>
      </c>
      <c r="H221" s="4">
        <v>44834</v>
      </c>
      <c r="I221" s="1" t="s">
        <v>10</v>
      </c>
      <c r="J221" s="1">
        <v>0.75</v>
      </c>
    </row>
    <row r="222" spans="1:10" x14ac:dyDescent="0.2">
      <c r="A222" s="1">
        <v>849</v>
      </c>
      <c r="B222" s="1" t="s">
        <v>130</v>
      </c>
      <c r="C222" s="1" t="s">
        <v>131</v>
      </c>
      <c r="E222" s="1" t="s">
        <v>224</v>
      </c>
      <c r="F222" s="1">
        <v>2294769</v>
      </c>
      <c r="H222" s="4">
        <v>44830</v>
      </c>
      <c r="I222" s="1" t="s">
        <v>4</v>
      </c>
      <c r="J222" s="1">
        <v>300</v>
      </c>
    </row>
    <row r="223" spans="1:10" x14ac:dyDescent="0.2">
      <c r="A223" s="1">
        <v>849</v>
      </c>
      <c r="B223" s="1" t="s">
        <v>130</v>
      </c>
      <c r="C223" s="1" t="s">
        <v>131</v>
      </c>
      <c r="E223" s="1" t="s">
        <v>224</v>
      </c>
      <c r="F223" s="1">
        <v>2294769</v>
      </c>
      <c r="H223" s="4">
        <v>44830</v>
      </c>
      <c r="I223" s="1" t="s">
        <v>19</v>
      </c>
      <c r="J223" s="1">
        <v>160</v>
      </c>
    </row>
    <row r="224" spans="1:10" x14ac:dyDescent="0.2">
      <c r="A224" s="1">
        <v>846</v>
      </c>
      <c r="B224" s="1" t="s">
        <v>106</v>
      </c>
      <c r="C224" s="1" t="s">
        <v>107</v>
      </c>
      <c r="E224" s="1" t="s">
        <v>107</v>
      </c>
      <c r="F224" s="1">
        <v>2294842</v>
      </c>
      <c r="H224" s="4">
        <v>44825</v>
      </c>
      <c r="I224" s="1" t="s">
        <v>11</v>
      </c>
      <c r="J224" s="1">
        <v>150</v>
      </c>
    </row>
    <row r="225" spans="1:10" x14ac:dyDescent="0.2">
      <c r="A225" s="1">
        <v>846</v>
      </c>
      <c r="B225" s="1" t="s">
        <v>106</v>
      </c>
      <c r="C225" s="1" t="s">
        <v>107</v>
      </c>
      <c r="E225" s="1" t="s">
        <v>107</v>
      </c>
      <c r="F225" s="1">
        <v>2294842</v>
      </c>
      <c r="H225" s="4">
        <v>44825</v>
      </c>
      <c r="I225" s="1" t="s">
        <v>19</v>
      </c>
      <c r="J225" s="1">
        <v>200</v>
      </c>
    </row>
    <row r="226" spans="1:10" x14ac:dyDescent="0.2">
      <c r="A226" s="1">
        <v>844</v>
      </c>
      <c r="B226" s="1" t="s">
        <v>151</v>
      </c>
      <c r="C226" s="1" t="s">
        <v>152</v>
      </c>
      <c r="E226" s="1" t="s">
        <v>152</v>
      </c>
      <c r="F226" s="1">
        <v>2295244</v>
      </c>
      <c r="H226" s="4">
        <v>44825</v>
      </c>
      <c r="I226" s="1" t="s">
        <v>35</v>
      </c>
      <c r="J226" s="1">
        <v>500</v>
      </c>
    </row>
    <row r="227" spans="1:10" x14ac:dyDescent="0.2">
      <c r="A227" s="1">
        <v>844</v>
      </c>
      <c r="B227" s="1" t="s">
        <v>151</v>
      </c>
      <c r="C227" s="1" t="s">
        <v>152</v>
      </c>
      <c r="E227" s="1" t="s">
        <v>152</v>
      </c>
      <c r="F227" s="1">
        <v>2295244</v>
      </c>
      <c r="H227" s="4">
        <v>44825</v>
      </c>
      <c r="I227" s="1" t="s">
        <v>31</v>
      </c>
      <c r="J227" s="1">
        <v>200</v>
      </c>
    </row>
    <row r="228" spans="1:10" x14ac:dyDescent="0.2">
      <c r="A228" s="1">
        <v>842</v>
      </c>
      <c r="B228" s="1" t="s">
        <v>151</v>
      </c>
      <c r="C228" s="1" t="s">
        <v>152</v>
      </c>
      <c r="E228" s="1" t="s">
        <v>152</v>
      </c>
      <c r="F228" s="1">
        <v>2295244</v>
      </c>
      <c r="H228" s="4">
        <v>44825</v>
      </c>
      <c r="I228" s="1" t="s">
        <v>7</v>
      </c>
      <c r="J228" s="1">
        <v>100</v>
      </c>
    </row>
    <row r="229" spans="1:10" x14ac:dyDescent="0.2">
      <c r="A229" s="1">
        <v>842</v>
      </c>
      <c r="B229" s="1" t="s">
        <v>151</v>
      </c>
      <c r="C229" s="1" t="s">
        <v>152</v>
      </c>
      <c r="E229" s="1" t="s">
        <v>152</v>
      </c>
      <c r="F229" s="1">
        <v>2295244</v>
      </c>
      <c r="H229" s="4">
        <v>44825</v>
      </c>
      <c r="I229" s="1" t="s">
        <v>27</v>
      </c>
      <c r="J229" s="1">
        <v>250</v>
      </c>
    </row>
    <row r="230" spans="1:10" x14ac:dyDescent="0.2">
      <c r="A230" s="1">
        <v>841</v>
      </c>
      <c r="C230" s="1" t="s">
        <v>202</v>
      </c>
      <c r="F230" s="1">
        <v>2295310</v>
      </c>
      <c r="H230" s="4">
        <v>44825</v>
      </c>
      <c r="I230" s="1" t="s">
        <v>8</v>
      </c>
      <c r="J230" s="1">
        <v>100</v>
      </c>
    </row>
    <row r="231" spans="1:10" x14ac:dyDescent="0.2">
      <c r="A231" s="1">
        <v>840</v>
      </c>
      <c r="C231" s="1" t="s">
        <v>225</v>
      </c>
      <c r="F231" s="1">
        <v>2294966</v>
      </c>
      <c r="H231" s="4">
        <v>44825</v>
      </c>
      <c r="I231" s="1" t="s">
        <v>1</v>
      </c>
      <c r="J231" s="1">
        <v>200</v>
      </c>
    </row>
    <row r="232" spans="1:10" x14ac:dyDescent="0.2">
      <c r="A232" s="1">
        <v>839</v>
      </c>
      <c r="B232" s="1" t="s">
        <v>106</v>
      </c>
      <c r="C232" s="1" t="s">
        <v>107</v>
      </c>
      <c r="E232" s="1" t="s">
        <v>107</v>
      </c>
      <c r="F232" s="1">
        <v>2294842</v>
      </c>
      <c r="H232" s="4">
        <v>44825</v>
      </c>
      <c r="I232" s="1" t="s">
        <v>19</v>
      </c>
      <c r="J232" s="1">
        <v>4884</v>
      </c>
    </row>
    <row r="233" spans="1:10" x14ac:dyDescent="0.2">
      <c r="A233" s="1">
        <v>839</v>
      </c>
      <c r="B233" s="1" t="s">
        <v>106</v>
      </c>
      <c r="C233" s="1" t="s">
        <v>107</v>
      </c>
      <c r="E233" s="1" t="s">
        <v>107</v>
      </c>
      <c r="F233" s="1">
        <v>2294842</v>
      </c>
      <c r="H233" s="4">
        <v>44825</v>
      </c>
      <c r="I233" s="1" t="s">
        <v>11</v>
      </c>
      <c r="J233" s="1">
        <v>300</v>
      </c>
    </row>
    <row r="234" spans="1:10" x14ac:dyDescent="0.2">
      <c r="A234" s="1">
        <v>838</v>
      </c>
      <c r="B234" s="1" t="s">
        <v>106</v>
      </c>
      <c r="C234" s="1" t="s">
        <v>107</v>
      </c>
      <c r="E234" s="1" t="s">
        <v>107</v>
      </c>
      <c r="F234" s="1">
        <v>2294842</v>
      </c>
      <c r="H234" s="4">
        <v>44819</v>
      </c>
      <c r="I234" s="1" t="s">
        <v>19</v>
      </c>
      <c r="J234" s="1">
        <v>200</v>
      </c>
    </row>
    <row r="235" spans="1:10" x14ac:dyDescent="0.2">
      <c r="A235" s="1">
        <v>838</v>
      </c>
      <c r="B235" s="1" t="s">
        <v>106</v>
      </c>
      <c r="C235" s="1" t="s">
        <v>107</v>
      </c>
      <c r="E235" s="1" t="s">
        <v>107</v>
      </c>
      <c r="F235" s="1">
        <v>2294842</v>
      </c>
      <c r="H235" s="4">
        <v>44819</v>
      </c>
      <c r="I235" s="1" t="s">
        <v>11</v>
      </c>
      <c r="J235" s="1">
        <v>500</v>
      </c>
    </row>
    <row r="236" spans="1:10" x14ac:dyDescent="0.2">
      <c r="A236" s="1">
        <v>837</v>
      </c>
      <c r="B236" s="1" t="s">
        <v>226</v>
      </c>
      <c r="C236" s="1" t="s">
        <v>227</v>
      </c>
      <c r="F236" s="1">
        <v>2294737</v>
      </c>
      <c r="H236" s="4">
        <v>44819</v>
      </c>
      <c r="I236" s="1" t="s">
        <v>12</v>
      </c>
      <c r="J236" s="1">
        <v>500</v>
      </c>
    </row>
    <row r="237" spans="1:10" x14ac:dyDescent="0.2">
      <c r="A237" s="1">
        <v>837</v>
      </c>
      <c r="B237" s="1" t="s">
        <v>226</v>
      </c>
      <c r="C237" s="1" t="s">
        <v>227</v>
      </c>
      <c r="F237" s="1">
        <v>2294737</v>
      </c>
      <c r="H237" s="4">
        <v>44819</v>
      </c>
      <c r="I237" s="1" t="s">
        <v>27</v>
      </c>
      <c r="J237" s="1">
        <v>200</v>
      </c>
    </row>
    <row r="238" spans="1:10" x14ac:dyDescent="0.2">
      <c r="A238" s="1">
        <v>837</v>
      </c>
      <c r="B238" s="1" t="s">
        <v>226</v>
      </c>
      <c r="C238" s="1" t="s">
        <v>227</v>
      </c>
      <c r="F238" s="1">
        <v>2294737</v>
      </c>
      <c r="H238" s="4">
        <v>44819</v>
      </c>
      <c r="I238" s="1" t="s">
        <v>11</v>
      </c>
      <c r="J238" s="1">
        <v>100</v>
      </c>
    </row>
    <row r="239" spans="1:10" x14ac:dyDescent="0.2">
      <c r="A239" s="1">
        <v>837</v>
      </c>
      <c r="B239" s="1" t="s">
        <v>226</v>
      </c>
      <c r="C239" s="1" t="s">
        <v>227</v>
      </c>
      <c r="F239" s="1">
        <v>2294737</v>
      </c>
      <c r="H239" s="4">
        <v>44819</v>
      </c>
      <c r="I239" s="1" t="s">
        <v>41</v>
      </c>
      <c r="J239" s="1">
        <v>200</v>
      </c>
    </row>
    <row r="240" spans="1:10" x14ac:dyDescent="0.2">
      <c r="A240" s="1">
        <v>836</v>
      </c>
      <c r="B240" s="1" t="s">
        <v>106</v>
      </c>
      <c r="C240" s="1" t="s">
        <v>107</v>
      </c>
      <c r="E240" s="1" t="s">
        <v>107</v>
      </c>
      <c r="F240" s="1">
        <v>2294842</v>
      </c>
      <c r="H240" s="4">
        <v>44818</v>
      </c>
      <c r="I240" s="1" t="s">
        <v>19</v>
      </c>
      <c r="J240" s="1">
        <v>500</v>
      </c>
    </row>
    <row r="241" spans="1:10" x14ac:dyDescent="0.2">
      <c r="A241" s="1">
        <v>836</v>
      </c>
      <c r="B241" s="1" t="s">
        <v>106</v>
      </c>
      <c r="C241" s="1" t="s">
        <v>107</v>
      </c>
      <c r="E241" s="1" t="s">
        <v>107</v>
      </c>
      <c r="F241" s="1">
        <v>2294842</v>
      </c>
      <c r="H241" s="4">
        <v>44818</v>
      </c>
      <c r="I241" s="1" t="s">
        <v>11</v>
      </c>
      <c r="J241" s="1">
        <v>6</v>
      </c>
    </row>
    <row r="242" spans="1:10" x14ac:dyDescent="0.2">
      <c r="A242" s="1">
        <v>835</v>
      </c>
      <c r="B242" s="1" t="s">
        <v>228</v>
      </c>
      <c r="C242" s="1" t="s">
        <v>229</v>
      </c>
      <c r="E242" s="1" t="s">
        <v>229</v>
      </c>
      <c r="F242" s="1">
        <v>2294788</v>
      </c>
      <c r="H242" s="4">
        <v>44817</v>
      </c>
      <c r="I242" s="1" t="s">
        <v>45</v>
      </c>
      <c r="J242" s="1">
        <v>400</v>
      </c>
    </row>
    <row r="243" spans="1:10" x14ac:dyDescent="0.2">
      <c r="A243" s="1">
        <v>835</v>
      </c>
      <c r="B243" s="1" t="s">
        <v>228</v>
      </c>
      <c r="C243" s="1" t="s">
        <v>229</v>
      </c>
      <c r="E243" s="1" t="s">
        <v>229</v>
      </c>
      <c r="F243" s="1">
        <v>2294788</v>
      </c>
      <c r="H243" s="4">
        <v>44817</v>
      </c>
      <c r="I243" s="1" t="s">
        <v>55</v>
      </c>
      <c r="J243" s="1">
        <v>500</v>
      </c>
    </row>
    <row r="244" spans="1:10" x14ac:dyDescent="0.2">
      <c r="A244" s="1">
        <v>835</v>
      </c>
      <c r="B244" s="1" t="s">
        <v>228</v>
      </c>
      <c r="C244" s="1" t="s">
        <v>229</v>
      </c>
      <c r="E244" s="1" t="s">
        <v>229</v>
      </c>
      <c r="F244" s="1">
        <v>2294788</v>
      </c>
      <c r="H244" s="4">
        <v>44817</v>
      </c>
      <c r="I244" s="1" t="s">
        <v>3</v>
      </c>
      <c r="J244" s="1">
        <v>300</v>
      </c>
    </row>
    <row r="245" spans="1:10" x14ac:dyDescent="0.2">
      <c r="A245" s="1">
        <v>835</v>
      </c>
      <c r="B245" s="1" t="s">
        <v>228</v>
      </c>
      <c r="C245" s="1" t="s">
        <v>229</v>
      </c>
      <c r="E245" s="1" t="s">
        <v>229</v>
      </c>
      <c r="F245" s="1">
        <v>2294788</v>
      </c>
      <c r="H245" s="4">
        <v>44817</v>
      </c>
      <c r="I245" s="1" t="s">
        <v>56</v>
      </c>
      <c r="J245" s="1">
        <v>250</v>
      </c>
    </row>
    <row r="246" spans="1:10" x14ac:dyDescent="0.2">
      <c r="A246" s="1">
        <v>835</v>
      </c>
      <c r="B246" s="1" t="s">
        <v>228</v>
      </c>
      <c r="C246" s="1" t="s">
        <v>229</v>
      </c>
      <c r="E246" s="1" t="s">
        <v>229</v>
      </c>
      <c r="F246" s="1">
        <v>2294788</v>
      </c>
      <c r="H246" s="4">
        <v>44817</v>
      </c>
      <c r="I246" s="1" t="s">
        <v>53</v>
      </c>
      <c r="J246" s="1">
        <v>85.62</v>
      </c>
    </row>
    <row r="247" spans="1:10" x14ac:dyDescent="0.2">
      <c r="A247" s="1">
        <v>835</v>
      </c>
      <c r="B247" s="1" t="s">
        <v>228</v>
      </c>
      <c r="C247" s="1" t="s">
        <v>229</v>
      </c>
      <c r="E247" s="1" t="s">
        <v>229</v>
      </c>
      <c r="F247" s="1">
        <v>2294788</v>
      </c>
      <c r="H247" s="4">
        <v>44817</v>
      </c>
      <c r="I247" s="1" t="s">
        <v>52</v>
      </c>
      <c r="J247" s="1">
        <v>67.42</v>
      </c>
    </row>
    <row r="248" spans="1:10" x14ac:dyDescent="0.2">
      <c r="A248" s="1">
        <v>835</v>
      </c>
      <c r="B248" s="1" t="s">
        <v>228</v>
      </c>
      <c r="C248" s="1" t="s">
        <v>229</v>
      </c>
      <c r="E248" s="1" t="s">
        <v>229</v>
      </c>
      <c r="F248" s="1">
        <v>2294788</v>
      </c>
      <c r="H248" s="4">
        <v>44817</v>
      </c>
      <c r="I248" s="1" t="s">
        <v>51</v>
      </c>
      <c r="J248" s="1">
        <v>100</v>
      </c>
    </row>
    <row r="249" spans="1:10" x14ac:dyDescent="0.2">
      <c r="A249" s="1">
        <v>835</v>
      </c>
      <c r="B249" s="1" t="s">
        <v>228</v>
      </c>
      <c r="C249" s="1" t="s">
        <v>229</v>
      </c>
      <c r="E249" s="1" t="s">
        <v>229</v>
      </c>
      <c r="F249" s="1">
        <v>2294788</v>
      </c>
      <c r="H249" s="4">
        <v>44817</v>
      </c>
      <c r="I249" s="1" t="s">
        <v>50</v>
      </c>
      <c r="J249" s="1">
        <v>25</v>
      </c>
    </row>
    <row r="250" spans="1:10" x14ac:dyDescent="0.2">
      <c r="A250" s="1">
        <v>835</v>
      </c>
      <c r="B250" s="1" t="s">
        <v>228</v>
      </c>
      <c r="C250" s="1" t="s">
        <v>229</v>
      </c>
      <c r="E250" s="1" t="s">
        <v>229</v>
      </c>
      <c r="F250" s="1">
        <v>2294788</v>
      </c>
      <c r="H250" s="4">
        <v>44817</v>
      </c>
      <c r="I250" s="1" t="s">
        <v>34</v>
      </c>
      <c r="J250" s="1">
        <v>500</v>
      </c>
    </row>
    <row r="251" spans="1:10" x14ac:dyDescent="0.2">
      <c r="A251" s="1">
        <v>835</v>
      </c>
      <c r="B251" s="1" t="s">
        <v>228</v>
      </c>
      <c r="C251" s="1" t="s">
        <v>229</v>
      </c>
      <c r="E251" s="1" t="s">
        <v>229</v>
      </c>
      <c r="F251" s="1">
        <v>2294788</v>
      </c>
      <c r="H251" s="4">
        <v>44817</v>
      </c>
      <c r="I251" s="1" t="s">
        <v>49</v>
      </c>
      <c r="J251" s="1">
        <v>95.25</v>
      </c>
    </row>
    <row r="252" spans="1:10" x14ac:dyDescent="0.2">
      <c r="A252" s="1">
        <v>835</v>
      </c>
      <c r="B252" s="1" t="s">
        <v>228</v>
      </c>
      <c r="C252" s="1" t="s">
        <v>229</v>
      </c>
      <c r="E252" s="1" t="s">
        <v>229</v>
      </c>
      <c r="F252" s="1">
        <v>2294788</v>
      </c>
      <c r="H252" s="4">
        <v>44817</v>
      </c>
      <c r="I252" s="1" t="s">
        <v>41</v>
      </c>
      <c r="J252" s="1">
        <v>100</v>
      </c>
    </row>
    <row r="253" spans="1:10" x14ac:dyDescent="0.2">
      <c r="A253" s="1">
        <v>835</v>
      </c>
      <c r="B253" s="1" t="s">
        <v>228</v>
      </c>
      <c r="C253" s="1" t="s">
        <v>229</v>
      </c>
      <c r="E253" s="1" t="s">
        <v>229</v>
      </c>
      <c r="F253" s="1">
        <v>2294788</v>
      </c>
      <c r="H253" s="4">
        <v>44817</v>
      </c>
      <c r="I253" s="1" t="s">
        <v>48</v>
      </c>
      <c r="J253" s="1">
        <v>0.75</v>
      </c>
    </row>
    <row r="254" spans="1:10" x14ac:dyDescent="0.2">
      <c r="A254" s="1">
        <v>835</v>
      </c>
      <c r="B254" s="1" t="s">
        <v>228</v>
      </c>
      <c r="C254" s="1" t="s">
        <v>229</v>
      </c>
      <c r="E254" s="1" t="s">
        <v>229</v>
      </c>
      <c r="F254" s="1">
        <v>2294788</v>
      </c>
      <c r="H254" s="4">
        <v>44817</v>
      </c>
      <c r="I254" s="1" t="s">
        <v>31</v>
      </c>
      <c r="J254" s="1">
        <v>95.25</v>
      </c>
    </row>
    <row r="255" spans="1:10" x14ac:dyDescent="0.2">
      <c r="A255" s="1">
        <v>835</v>
      </c>
      <c r="B255" s="1" t="s">
        <v>228</v>
      </c>
      <c r="C255" s="1" t="s">
        <v>229</v>
      </c>
      <c r="E255" s="1" t="s">
        <v>229</v>
      </c>
      <c r="F255" s="1">
        <v>2294788</v>
      </c>
      <c r="H255" s="4">
        <v>44817</v>
      </c>
      <c r="I255" s="1" t="s">
        <v>35</v>
      </c>
      <c r="J255" s="1">
        <v>100</v>
      </c>
    </row>
    <row r="256" spans="1:10" x14ac:dyDescent="0.2">
      <c r="A256" s="1">
        <v>835</v>
      </c>
      <c r="B256" s="1" t="s">
        <v>228</v>
      </c>
      <c r="C256" s="1" t="s">
        <v>229</v>
      </c>
      <c r="E256" s="1" t="s">
        <v>229</v>
      </c>
      <c r="F256" s="1">
        <v>2294788</v>
      </c>
      <c r="H256" s="4">
        <v>44817</v>
      </c>
      <c r="I256" s="1" t="s">
        <v>29</v>
      </c>
      <c r="J256" s="1">
        <v>200</v>
      </c>
    </row>
    <row r="257" spans="1:10" x14ac:dyDescent="0.2">
      <c r="A257" s="1">
        <v>835</v>
      </c>
      <c r="B257" s="1" t="s">
        <v>228</v>
      </c>
      <c r="C257" s="1" t="s">
        <v>229</v>
      </c>
      <c r="E257" s="1" t="s">
        <v>229</v>
      </c>
      <c r="F257" s="1">
        <v>2294788</v>
      </c>
      <c r="H257" s="4">
        <v>44817</v>
      </c>
      <c r="I257" s="1" t="s">
        <v>12</v>
      </c>
      <c r="J257" s="1">
        <v>200</v>
      </c>
    </row>
    <row r="258" spans="1:10" x14ac:dyDescent="0.2">
      <c r="A258" s="1">
        <v>835</v>
      </c>
      <c r="B258" s="1" t="s">
        <v>228</v>
      </c>
      <c r="C258" s="1" t="s">
        <v>229</v>
      </c>
      <c r="E258" s="1" t="s">
        <v>229</v>
      </c>
      <c r="F258" s="1">
        <v>2294788</v>
      </c>
      <c r="H258" s="4">
        <v>44817</v>
      </c>
      <c r="I258" s="1" t="s">
        <v>27</v>
      </c>
      <c r="J258" s="1">
        <v>77.05</v>
      </c>
    </row>
    <row r="259" spans="1:10" x14ac:dyDescent="0.2">
      <c r="A259" s="1">
        <v>835</v>
      </c>
      <c r="B259" s="1" t="s">
        <v>228</v>
      </c>
      <c r="C259" s="1" t="s">
        <v>229</v>
      </c>
      <c r="E259" s="1" t="s">
        <v>229</v>
      </c>
      <c r="F259" s="1">
        <v>2294788</v>
      </c>
      <c r="H259" s="4">
        <v>44817</v>
      </c>
      <c r="I259" s="1" t="s">
        <v>19</v>
      </c>
      <c r="J259" s="1">
        <v>153.04</v>
      </c>
    </row>
    <row r="260" spans="1:10" x14ac:dyDescent="0.2">
      <c r="A260" s="1">
        <v>835</v>
      </c>
      <c r="B260" s="1" t="s">
        <v>228</v>
      </c>
      <c r="C260" s="1" t="s">
        <v>229</v>
      </c>
      <c r="E260" s="1" t="s">
        <v>229</v>
      </c>
      <c r="F260" s="1">
        <v>2294788</v>
      </c>
      <c r="H260" s="4">
        <v>44817</v>
      </c>
      <c r="I260" s="1" t="s">
        <v>1</v>
      </c>
      <c r="J260" s="1">
        <v>124.14</v>
      </c>
    </row>
    <row r="261" spans="1:10" x14ac:dyDescent="0.2">
      <c r="A261" s="1">
        <v>835</v>
      </c>
      <c r="B261" s="1" t="s">
        <v>228</v>
      </c>
      <c r="C261" s="1" t="s">
        <v>229</v>
      </c>
      <c r="E261" s="1" t="s">
        <v>229</v>
      </c>
      <c r="F261" s="1">
        <v>2294788</v>
      </c>
      <c r="H261" s="4">
        <v>44817</v>
      </c>
      <c r="I261" s="1" t="s">
        <v>7</v>
      </c>
      <c r="J261" s="1">
        <v>210.83</v>
      </c>
    </row>
    <row r="262" spans="1:10" x14ac:dyDescent="0.2">
      <c r="A262" s="1">
        <v>835</v>
      </c>
      <c r="B262" s="1" t="s">
        <v>228</v>
      </c>
      <c r="C262" s="1" t="s">
        <v>229</v>
      </c>
      <c r="E262" s="1" t="s">
        <v>229</v>
      </c>
      <c r="F262" s="1">
        <v>2294788</v>
      </c>
      <c r="H262" s="4">
        <v>44817</v>
      </c>
      <c r="I262" s="1" t="s">
        <v>11</v>
      </c>
      <c r="J262" s="1">
        <v>100</v>
      </c>
    </row>
    <row r="263" spans="1:10" x14ac:dyDescent="0.2">
      <c r="A263" s="1">
        <v>835</v>
      </c>
      <c r="B263" s="1" t="s">
        <v>228</v>
      </c>
      <c r="C263" s="1" t="s">
        <v>229</v>
      </c>
      <c r="E263" s="1" t="s">
        <v>229</v>
      </c>
      <c r="F263" s="1">
        <v>2294788</v>
      </c>
      <c r="H263" s="4">
        <v>44817</v>
      </c>
      <c r="I263" s="1" t="s">
        <v>54</v>
      </c>
      <c r="J263" s="1">
        <v>100</v>
      </c>
    </row>
    <row r="264" spans="1:10" x14ac:dyDescent="0.2">
      <c r="A264" s="1">
        <v>834</v>
      </c>
      <c r="B264" s="1" t="s">
        <v>230</v>
      </c>
      <c r="C264" s="1" t="s">
        <v>231</v>
      </c>
      <c r="E264" s="1" t="s">
        <v>231</v>
      </c>
      <c r="F264" s="1">
        <v>2294790</v>
      </c>
      <c r="H264" s="4">
        <v>44816</v>
      </c>
      <c r="I264" s="1" t="s">
        <v>41</v>
      </c>
      <c r="J264" s="1">
        <v>67.42</v>
      </c>
    </row>
    <row r="265" spans="1:10" x14ac:dyDescent="0.2">
      <c r="A265" s="1">
        <v>834</v>
      </c>
      <c r="B265" s="1" t="s">
        <v>230</v>
      </c>
      <c r="C265" s="1" t="s">
        <v>231</v>
      </c>
      <c r="E265" s="1" t="s">
        <v>231</v>
      </c>
      <c r="F265" s="1">
        <v>2294790</v>
      </c>
      <c r="H265" s="4">
        <v>44816</v>
      </c>
      <c r="I265" s="1" t="s">
        <v>7</v>
      </c>
      <c r="J265" s="1">
        <v>500</v>
      </c>
    </row>
    <row r="266" spans="1:10" x14ac:dyDescent="0.2">
      <c r="A266" s="1">
        <v>834</v>
      </c>
      <c r="B266" s="1" t="s">
        <v>230</v>
      </c>
      <c r="C266" s="1" t="s">
        <v>231</v>
      </c>
      <c r="E266" s="1" t="s">
        <v>231</v>
      </c>
      <c r="F266" s="1">
        <v>2294790</v>
      </c>
      <c r="H266" s="4">
        <v>44816</v>
      </c>
      <c r="I266" s="1" t="s">
        <v>19</v>
      </c>
      <c r="J266" s="1">
        <v>100</v>
      </c>
    </row>
    <row r="267" spans="1:10" x14ac:dyDescent="0.2">
      <c r="A267" s="1">
        <v>834</v>
      </c>
      <c r="B267" s="1" t="s">
        <v>230</v>
      </c>
      <c r="C267" s="1" t="s">
        <v>231</v>
      </c>
      <c r="E267" s="1" t="s">
        <v>231</v>
      </c>
      <c r="F267" s="1">
        <v>2294790</v>
      </c>
      <c r="H267" s="4">
        <v>44816</v>
      </c>
      <c r="I267" s="1" t="s">
        <v>11</v>
      </c>
      <c r="J267" s="1">
        <v>153.04</v>
      </c>
    </row>
    <row r="268" spans="1:10" x14ac:dyDescent="0.2">
      <c r="A268" s="1">
        <v>834</v>
      </c>
      <c r="B268" s="1" t="s">
        <v>230</v>
      </c>
      <c r="C268" s="1" t="s">
        <v>231</v>
      </c>
      <c r="E268" s="1" t="s">
        <v>231</v>
      </c>
      <c r="F268" s="1">
        <v>2294790</v>
      </c>
      <c r="H268" s="4">
        <v>44816</v>
      </c>
      <c r="I268" s="1" t="s">
        <v>27</v>
      </c>
      <c r="J268" s="1">
        <v>200</v>
      </c>
    </row>
    <row r="269" spans="1:10" x14ac:dyDescent="0.2">
      <c r="A269" s="1">
        <v>834</v>
      </c>
      <c r="B269" s="1" t="s">
        <v>230</v>
      </c>
      <c r="C269" s="1" t="s">
        <v>231</v>
      </c>
      <c r="E269" s="1" t="s">
        <v>231</v>
      </c>
      <c r="F269" s="1">
        <v>2294790</v>
      </c>
      <c r="H269" s="4">
        <v>44816</v>
      </c>
      <c r="I269" s="1" t="s">
        <v>54</v>
      </c>
      <c r="J269" s="1">
        <v>15000</v>
      </c>
    </row>
    <row r="270" spans="1:10" x14ac:dyDescent="0.2">
      <c r="A270" s="1">
        <v>834</v>
      </c>
      <c r="B270" s="1" t="s">
        <v>230</v>
      </c>
      <c r="C270" s="1" t="s">
        <v>231</v>
      </c>
      <c r="E270" s="1" t="s">
        <v>231</v>
      </c>
      <c r="F270" s="1">
        <v>2294790</v>
      </c>
      <c r="H270" s="4">
        <v>44816</v>
      </c>
      <c r="I270" s="1" t="s">
        <v>3</v>
      </c>
      <c r="J270" s="1">
        <v>200</v>
      </c>
    </row>
    <row r="271" spans="1:10" x14ac:dyDescent="0.2">
      <c r="A271" s="1">
        <v>834</v>
      </c>
      <c r="B271" s="1" t="s">
        <v>230</v>
      </c>
      <c r="C271" s="1" t="s">
        <v>231</v>
      </c>
      <c r="E271" s="1" t="s">
        <v>231</v>
      </c>
      <c r="F271" s="1">
        <v>2294790</v>
      </c>
      <c r="H271" s="4">
        <v>44816</v>
      </c>
      <c r="I271" s="1" t="s">
        <v>56</v>
      </c>
      <c r="J271" s="1">
        <v>500</v>
      </c>
    </row>
    <row r="272" spans="1:10" x14ac:dyDescent="0.2">
      <c r="A272" s="1">
        <v>834</v>
      </c>
      <c r="B272" s="1" t="s">
        <v>230</v>
      </c>
      <c r="C272" s="1" t="s">
        <v>231</v>
      </c>
      <c r="E272" s="1" t="s">
        <v>231</v>
      </c>
      <c r="F272" s="1">
        <v>2294790</v>
      </c>
      <c r="H272" s="4">
        <v>44816</v>
      </c>
      <c r="I272" s="1" t="s">
        <v>1</v>
      </c>
      <c r="J272" s="1">
        <v>100</v>
      </c>
    </row>
    <row r="273" spans="1:10" x14ac:dyDescent="0.2">
      <c r="A273" s="1">
        <v>834</v>
      </c>
      <c r="B273" s="1" t="s">
        <v>230</v>
      </c>
      <c r="C273" s="1" t="s">
        <v>231</v>
      </c>
      <c r="E273" s="1" t="s">
        <v>231</v>
      </c>
      <c r="F273" s="1">
        <v>2294790</v>
      </c>
      <c r="H273" s="4">
        <v>44816</v>
      </c>
      <c r="I273" s="1" t="s">
        <v>53</v>
      </c>
      <c r="J273" s="1">
        <v>0.75</v>
      </c>
    </row>
    <row r="274" spans="1:10" x14ac:dyDescent="0.2">
      <c r="A274" s="1">
        <v>834</v>
      </c>
      <c r="B274" s="1" t="s">
        <v>230</v>
      </c>
      <c r="C274" s="1" t="s">
        <v>231</v>
      </c>
      <c r="E274" s="1" t="s">
        <v>231</v>
      </c>
      <c r="F274" s="1">
        <v>2294790</v>
      </c>
      <c r="H274" s="4">
        <v>44816</v>
      </c>
      <c r="I274" s="1" t="s">
        <v>45</v>
      </c>
      <c r="J274" s="1">
        <v>500</v>
      </c>
    </row>
    <row r="275" spans="1:10" x14ac:dyDescent="0.2">
      <c r="A275" s="1">
        <v>834</v>
      </c>
      <c r="B275" s="1" t="s">
        <v>230</v>
      </c>
      <c r="C275" s="1" t="s">
        <v>231</v>
      </c>
      <c r="E275" s="1" t="s">
        <v>231</v>
      </c>
      <c r="F275" s="1">
        <v>2294790</v>
      </c>
      <c r="H275" s="4">
        <v>44816</v>
      </c>
      <c r="I275" s="1" t="s">
        <v>48</v>
      </c>
      <c r="J275" s="1">
        <v>250</v>
      </c>
    </row>
    <row r="276" spans="1:10" x14ac:dyDescent="0.2">
      <c r="A276" s="1">
        <v>834</v>
      </c>
      <c r="B276" s="1" t="s">
        <v>230</v>
      </c>
      <c r="C276" s="1" t="s">
        <v>231</v>
      </c>
      <c r="E276" s="1" t="s">
        <v>231</v>
      </c>
      <c r="F276" s="1">
        <v>2294790</v>
      </c>
      <c r="H276" s="4">
        <v>44816</v>
      </c>
      <c r="I276" s="1" t="s">
        <v>31</v>
      </c>
      <c r="J276" s="1">
        <v>100</v>
      </c>
    </row>
    <row r="277" spans="1:10" x14ac:dyDescent="0.2">
      <c r="A277" s="1">
        <v>834</v>
      </c>
      <c r="B277" s="1" t="s">
        <v>230</v>
      </c>
      <c r="C277" s="1" t="s">
        <v>231</v>
      </c>
      <c r="E277" s="1" t="s">
        <v>231</v>
      </c>
      <c r="F277" s="1">
        <v>2294790</v>
      </c>
      <c r="H277" s="4">
        <v>44816</v>
      </c>
      <c r="I277" s="1" t="s">
        <v>35</v>
      </c>
      <c r="J277" s="1">
        <v>100</v>
      </c>
    </row>
    <row r="278" spans="1:10" x14ac:dyDescent="0.2">
      <c r="A278" s="1">
        <v>834</v>
      </c>
      <c r="B278" s="1" t="s">
        <v>230</v>
      </c>
      <c r="C278" s="1" t="s">
        <v>231</v>
      </c>
      <c r="E278" s="1" t="s">
        <v>231</v>
      </c>
      <c r="F278" s="1">
        <v>2294790</v>
      </c>
      <c r="H278" s="4">
        <v>44816</v>
      </c>
      <c r="I278" s="1" t="s">
        <v>55</v>
      </c>
      <c r="J278" s="1">
        <v>100</v>
      </c>
    </row>
    <row r="279" spans="1:10" x14ac:dyDescent="0.2">
      <c r="A279" s="1">
        <v>834</v>
      </c>
      <c r="B279" s="1" t="s">
        <v>230</v>
      </c>
      <c r="C279" s="1" t="s">
        <v>231</v>
      </c>
      <c r="E279" s="1" t="s">
        <v>231</v>
      </c>
      <c r="F279" s="1">
        <v>2294790</v>
      </c>
      <c r="H279" s="4">
        <v>44816</v>
      </c>
      <c r="I279" s="1" t="s">
        <v>12</v>
      </c>
      <c r="J279" s="1">
        <v>25</v>
      </c>
    </row>
    <row r="280" spans="1:10" x14ac:dyDescent="0.2">
      <c r="A280" s="1">
        <v>834</v>
      </c>
      <c r="B280" s="1" t="s">
        <v>230</v>
      </c>
      <c r="C280" s="1" t="s">
        <v>231</v>
      </c>
      <c r="E280" s="1" t="s">
        <v>231</v>
      </c>
      <c r="F280" s="1">
        <v>2294790</v>
      </c>
      <c r="H280" s="4">
        <v>44816</v>
      </c>
      <c r="I280" s="1" t="s">
        <v>49</v>
      </c>
      <c r="J280" s="1">
        <v>124.14</v>
      </c>
    </row>
    <row r="281" spans="1:10" x14ac:dyDescent="0.2">
      <c r="A281" s="1">
        <v>834</v>
      </c>
      <c r="B281" s="1" t="s">
        <v>230</v>
      </c>
      <c r="C281" s="1" t="s">
        <v>231</v>
      </c>
      <c r="E281" s="1" t="s">
        <v>231</v>
      </c>
      <c r="F281" s="1">
        <v>2294790</v>
      </c>
      <c r="H281" s="4">
        <v>44816</v>
      </c>
      <c r="I281" s="1" t="s">
        <v>34</v>
      </c>
      <c r="J281" s="1">
        <v>67.42</v>
      </c>
    </row>
    <row r="282" spans="1:10" x14ac:dyDescent="0.2">
      <c r="A282" s="1">
        <v>834</v>
      </c>
      <c r="B282" s="1" t="s">
        <v>230</v>
      </c>
      <c r="C282" s="1" t="s">
        <v>231</v>
      </c>
      <c r="E282" s="1" t="s">
        <v>231</v>
      </c>
      <c r="F282" s="1">
        <v>2294790</v>
      </c>
      <c r="H282" s="4">
        <v>44816</v>
      </c>
      <c r="I282" s="1" t="s">
        <v>50</v>
      </c>
      <c r="J282" s="1">
        <v>77.05</v>
      </c>
    </row>
    <row r="283" spans="1:10" x14ac:dyDescent="0.2">
      <c r="A283" s="1">
        <v>834</v>
      </c>
      <c r="B283" s="1" t="s">
        <v>230</v>
      </c>
      <c r="C283" s="1" t="s">
        <v>231</v>
      </c>
      <c r="E283" s="1" t="s">
        <v>231</v>
      </c>
      <c r="F283" s="1">
        <v>2294790</v>
      </c>
      <c r="H283" s="4">
        <v>44816</v>
      </c>
      <c r="I283" s="1" t="s">
        <v>51</v>
      </c>
      <c r="J283" s="1">
        <v>85.62</v>
      </c>
    </row>
    <row r="284" spans="1:10" x14ac:dyDescent="0.2">
      <c r="A284" s="1">
        <v>834</v>
      </c>
      <c r="B284" s="1" t="s">
        <v>230</v>
      </c>
      <c r="C284" s="1" t="s">
        <v>231</v>
      </c>
      <c r="E284" s="1" t="s">
        <v>231</v>
      </c>
      <c r="F284" s="1">
        <v>2294790</v>
      </c>
      <c r="H284" s="4">
        <v>44816</v>
      </c>
      <c r="I284" s="1" t="s">
        <v>29</v>
      </c>
      <c r="J284" s="1">
        <v>95.25</v>
      </c>
    </row>
    <row r="285" spans="1:10" x14ac:dyDescent="0.2">
      <c r="A285" s="1">
        <v>834</v>
      </c>
      <c r="B285" s="1" t="s">
        <v>230</v>
      </c>
      <c r="C285" s="1" t="s">
        <v>231</v>
      </c>
      <c r="E285" s="1" t="s">
        <v>231</v>
      </c>
      <c r="F285" s="1">
        <v>2294790</v>
      </c>
      <c r="H285" s="4">
        <v>44816</v>
      </c>
      <c r="I285" s="1" t="s">
        <v>52</v>
      </c>
      <c r="J285" s="1">
        <v>210.83</v>
      </c>
    </row>
    <row r="286" spans="1:10" x14ac:dyDescent="0.2">
      <c r="A286" s="1">
        <v>833</v>
      </c>
      <c r="B286" s="1" t="s">
        <v>226</v>
      </c>
      <c r="C286" s="1" t="s">
        <v>227</v>
      </c>
      <c r="F286" s="1">
        <v>2294737</v>
      </c>
      <c r="H286" s="4">
        <v>44814</v>
      </c>
      <c r="I286" s="1" t="s">
        <v>51</v>
      </c>
      <c r="J286" s="1">
        <v>95.25</v>
      </c>
    </row>
    <row r="287" spans="1:10" x14ac:dyDescent="0.2">
      <c r="A287" s="1">
        <v>833</v>
      </c>
      <c r="B287" s="1" t="s">
        <v>226</v>
      </c>
      <c r="C287" s="1" t="s">
        <v>227</v>
      </c>
      <c r="F287" s="1">
        <v>2294737</v>
      </c>
      <c r="H287" s="4">
        <v>44814</v>
      </c>
      <c r="I287" s="1" t="s">
        <v>11</v>
      </c>
      <c r="J287" s="1">
        <v>67.42</v>
      </c>
    </row>
    <row r="288" spans="1:10" x14ac:dyDescent="0.2">
      <c r="A288" s="1">
        <v>833</v>
      </c>
      <c r="B288" s="1" t="s">
        <v>226</v>
      </c>
      <c r="C288" s="1" t="s">
        <v>227</v>
      </c>
      <c r="F288" s="1">
        <v>2294737</v>
      </c>
      <c r="H288" s="4">
        <v>44814</v>
      </c>
      <c r="I288" s="1" t="s">
        <v>27</v>
      </c>
      <c r="J288" s="1">
        <v>95.25</v>
      </c>
    </row>
    <row r="289" spans="1:10" x14ac:dyDescent="0.2">
      <c r="A289" s="1">
        <v>833</v>
      </c>
      <c r="B289" s="1" t="s">
        <v>226</v>
      </c>
      <c r="C289" s="1" t="s">
        <v>227</v>
      </c>
      <c r="F289" s="1">
        <v>2294737</v>
      </c>
      <c r="H289" s="4">
        <v>44814</v>
      </c>
      <c r="I289" s="1" t="s">
        <v>12</v>
      </c>
      <c r="J289" s="1">
        <v>100</v>
      </c>
    </row>
    <row r="290" spans="1:10" x14ac:dyDescent="0.2">
      <c r="A290" s="1">
        <v>833</v>
      </c>
      <c r="B290" s="1" t="s">
        <v>226</v>
      </c>
      <c r="C290" s="1" t="s">
        <v>227</v>
      </c>
      <c r="F290" s="1">
        <v>2294737</v>
      </c>
      <c r="H290" s="4">
        <v>44814</v>
      </c>
      <c r="I290" s="1" t="s">
        <v>29</v>
      </c>
      <c r="J290" s="1">
        <v>67.42</v>
      </c>
    </row>
    <row r="291" spans="1:10" x14ac:dyDescent="0.2">
      <c r="A291" s="1">
        <v>833</v>
      </c>
      <c r="B291" s="1" t="s">
        <v>226</v>
      </c>
      <c r="C291" s="1" t="s">
        <v>227</v>
      </c>
      <c r="F291" s="1">
        <v>2294737</v>
      </c>
      <c r="H291" s="4">
        <v>44814</v>
      </c>
      <c r="I291" s="1" t="s">
        <v>35</v>
      </c>
      <c r="J291" s="1">
        <v>500</v>
      </c>
    </row>
    <row r="292" spans="1:10" x14ac:dyDescent="0.2">
      <c r="A292" s="1">
        <v>833</v>
      </c>
      <c r="B292" s="1" t="s">
        <v>226</v>
      </c>
      <c r="C292" s="1" t="s">
        <v>227</v>
      </c>
      <c r="F292" s="1">
        <v>2294737</v>
      </c>
      <c r="H292" s="4">
        <v>44814</v>
      </c>
      <c r="I292" s="1" t="s">
        <v>3</v>
      </c>
      <c r="J292" s="1">
        <v>85.62</v>
      </c>
    </row>
    <row r="293" spans="1:10" x14ac:dyDescent="0.2">
      <c r="A293" s="1">
        <v>833</v>
      </c>
      <c r="B293" s="1" t="s">
        <v>226</v>
      </c>
      <c r="C293" s="1" t="s">
        <v>227</v>
      </c>
      <c r="F293" s="1">
        <v>2294737</v>
      </c>
      <c r="H293" s="4">
        <v>44814</v>
      </c>
      <c r="I293" s="1" t="s">
        <v>31</v>
      </c>
      <c r="J293" s="1">
        <v>0.75</v>
      </c>
    </row>
    <row r="294" spans="1:10" x14ac:dyDescent="0.2">
      <c r="A294" s="1">
        <v>833</v>
      </c>
      <c r="B294" s="1" t="s">
        <v>226</v>
      </c>
      <c r="C294" s="1" t="s">
        <v>227</v>
      </c>
      <c r="F294" s="1">
        <v>2294737</v>
      </c>
      <c r="H294" s="4">
        <v>44814</v>
      </c>
      <c r="I294" s="1" t="s">
        <v>48</v>
      </c>
      <c r="J294" s="1">
        <v>100</v>
      </c>
    </row>
    <row r="295" spans="1:10" x14ac:dyDescent="0.2">
      <c r="A295" s="1">
        <v>833</v>
      </c>
      <c r="B295" s="1" t="s">
        <v>226</v>
      </c>
      <c r="C295" s="1" t="s">
        <v>227</v>
      </c>
      <c r="F295" s="1">
        <v>2294737</v>
      </c>
      <c r="H295" s="4">
        <v>44814</v>
      </c>
      <c r="I295" s="1" t="s">
        <v>41</v>
      </c>
      <c r="J295" s="1">
        <v>500</v>
      </c>
    </row>
    <row r="296" spans="1:10" x14ac:dyDescent="0.2">
      <c r="A296" s="1">
        <v>833</v>
      </c>
      <c r="B296" s="1" t="s">
        <v>226</v>
      </c>
      <c r="C296" s="1" t="s">
        <v>227</v>
      </c>
      <c r="F296" s="1">
        <v>2294737</v>
      </c>
      <c r="H296" s="4">
        <v>44814</v>
      </c>
      <c r="I296" s="1" t="s">
        <v>49</v>
      </c>
      <c r="J296" s="1">
        <v>77.05</v>
      </c>
    </row>
    <row r="297" spans="1:10" x14ac:dyDescent="0.2">
      <c r="A297" s="1">
        <v>833</v>
      </c>
      <c r="B297" s="1" t="s">
        <v>226</v>
      </c>
      <c r="C297" s="1" t="s">
        <v>227</v>
      </c>
      <c r="F297" s="1">
        <v>2294737</v>
      </c>
      <c r="H297" s="4">
        <v>44814</v>
      </c>
      <c r="I297" s="1" t="s">
        <v>34</v>
      </c>
      <c r="J297" s="1">
        <v>25</v>
      </c>
    </row>
    <row r="298" spans="1:10" x14ac:dyDescent="0.2">
      <c r="A298" s="1">
        <v>833</v>
      </c>
      <c r="B298" s="1" t="s">
        <v>226</v>
      </c>
      <c r="C298" s="1" t="s">
        <v>227</v>
      </c>
      <c r="F298" s="1">
        <v>2294737</v>
      </c>
      <c r="H298" s="4">
        <v>44814</v>
      </c>
      <c r="I298" s="1" t="s">
        <v>50</v>
      </c>
      <c r="J298" s="1">
        <v>100</v>
      </c>
    </row>
    <row r="299" spans="1:10" x14ac:dyDescent="0.2">
      <c r="A299" s="1">
        <v>833</v>
      </c>
      <c r="B299" s="1" t="s">
        <v>226</v>
      </c>
      <c r="C299" s="1" t="s">
        <v>227</v>
      </c>
      <c r="F299" s="1">
        <v>2294737</v>
      </c>
      <c r="H299" s="4">
        <v>44814</v>
      </c>
      <c r="I299" s="1" t="s">
        <v>52</v>
      </c>
      <c r="J299" s="1">
        <v>250</v>
      </c>
    </row>
    <row r="300" spans="1:10" x14ac:dyDescent="0.2">
      <c r="A300" s="1">
        <v>833</v>
      </c>
      <c r="B300" s="1" t="s">
        <v>226</v>
      </c>
      <c r="C300" s="1" t="s">
        <v>227</v>
      </c>
      <c r="F300" s="1">
        <v>2294737</v>
      </c>
      <c r="H300" s="4">
        <v>44814</v>
      </c>
      <c r="I300" s="1" t="s">
        <v>53</v>
      </c>
      <c r="J300" s="1">
        <v>300</v>
      </c>
    </row>
    <row r="301" spans="1:10" x14ac:dyDescent="0.2">
      <c r="A301" s="1">
        <v>833</v>
      </c>
      <c r="B301" s="1" t="s">
        <v>226</v>
      </c>
      <c r="C301" s="1" t="s">
        <v>227</v>
      </c>
      <c r="F301" s="1">
        <v>2294737</v>
      </c>
      <c r="H301" s="4">
        <v>44814</v>
      </c>
      <c r="I301" s="1" t="s">
        <v>45</v>
      </c>
      <c r="J301" s="1">
        <v>200</v>
      </c>
    </row>
    <row r="302" spans="1:10" x14ac:dyDescent="0.2">
      <c r="A302" s="1">
        <v>833</v>
      </c>
      <c r="B302" s="1" t="s">
        <v>226</v>
      </c>
      <c r="C302" s="1" t="s">
        <v>227</v>
      </c>
      <c r="F302" s="1">
        <v>2294737</v>
      </c>
      <c r="H302" s="4">
        <v>44814</v>
      </c>
      <c r="I302" s="1" t="s">
        <v>54</v>
      </c>
      <c r="J302" s="1">
        <v>100</v>
      </c>
    </row>
    <row r="303" spans="1:10" x14ac:dyDescent="0.2">
      <c r="A303" s="1">
        <v>833</v>
      </c>
      <c r="B303" s="1" t="s">
        <v>226</v>
      </c>
      <c r="C303" s="1" t="s">
        <v>227</v>
      </c>
      <c r="F303" s="1">
        <v>2294737</v>
      </c>
      <c r="H303" s="4">
        <v>44814</v>
      </c>
      <c r="I303" s="1" t="s">
        <v>55</v>
      </c>
      <c r="J303" s="1">
        <v>200</v>
      </c>
    </row>
    <row r="304" spans="1:10" x14ac:dyDescent="0.2">
      <c r="A304" s="1">
        <v>833</v>
      </c>
      <c r="B304" s="1" t="s">
        <v>226</v>
      </c>
      <c r="C304" s="1" t="s">
        <v>227</v>
      </c>
      <c r="F304" s="1">
        <v>2294737</v>
      </c>
      <c r="H304" s="4">
        <v>44814</v>
      </c>
      <c r="I304" s="1" t="s">
        <v>56</v>
      </c>
      <c r="J304" s="1">
        <v>100</v>
      </c>
    </row>
    <row r="305" spans="1:10" x14ac:dyDescent="0.2">
      <c r="A305" s="1">
        <v>833</v>
      </c>
      <c r="B305" s="1" t="s">
        <v>226</v>
      </c>
      <c r="C305" s="1" t="s">
        <v>227</v>
      </c>
      <c r="F305" s="1">
        <v>2294737</v>
      </c>
      <c r="H305" s="4">
        <v>44814</v>
      </c>
      <c r="I305" s="1" t="s">
        <v>7</v>
      </c>
      <c r="J305" s="1">
        <v>153.04</v>
      </c>
    </row>
    <row r="306" spans="1:10" x14ac:dyDescent="0.2">
      <c r="A306" s="1">
        <v>833</v>
      </c>
      <c r="B306" s="1" t="s">
        <v>226</v>
      </c>
      <c r="C306" s="1" t="s">
        <v>227</v>
      </c>
      <c r="F306" s="1">
        <v>2294737</v>
      </c>
      <c r="H306" s="4">
        <v>44814</v>
      </c>
      <c r="I306" s="1" t="s">
        <v>1</v>
      </c>
      <c r="J306" s="1">
        <v>124.14</v>
      </c>
    </row>
    <row r="307" spans="1:10" x14ac:dyDescent="0.2">
      <c r="A307" s="1">
        <v>833</v>
      </c>
      <c r="B307" s="1" t="s">
        <v>226</v>
      </c>
      <c r="C307" s="1" t="s">
        <v>227</v>
      </c>
      <c r="F307" s="1">
        <v>2294737</v>
      </c>
      <c r="H307" s="4">
        <v>44814</v>
      </c>
      <c r="I307" s="1" t="s">
        <v>19</v>
      </c>
      <c r="J307" s="1">
        <v>210.83</v>
      </c>
    </row>
    <row r="308" spans="1:10" x14ac:dyDescent="0.2">
      <c r="A308" s="1">
        <v>828</v>
      </c>
      <c r="B308" s="1" t="s">
        <v>232</v>
      </c>
      <c r="C308" s="1" t="s">
        <v>233</v>
      </c>
      <c r="E308" s="1" t="s">
        <v>233</v>
      </c>
      <c r="F308" s="1">
        <v>2294890</v>
      </c>
      <c r="H308" s="4">
        <v>44811</v>
      </c>
      <c r="I308" s="1" t="s">
        <v>7</v>
      </c>
      <c r="J308" s="1">
        <v>95.25</v>
      </c>
    </row>
    <row r="309" spans="1:10" x14ac:dyDescent="0.2">
      <c r="A309" s="1">
        <v>828</v>
      </c>
      <c r="B309" s="1" t="s">
        <v>232</v>
      </c>
      <c r="C309" s="1" t="s">
        <v>233</v>
      </c>
      <c r="E309" s="1" t="s">
        <v>233</v>
      </c>
      <c r="F309" s="1">
        <v>2294890</v>
      </c>
      <c r="H309" s="4">
        <v>44811</v>
      </c>
      <c r="I309" s="1" t="s">
        <v>1</v>
      </c>
      <c r="J309" s="1">
        <v>67.42</v>
      </c>
    </row>
    <row r="310" spans="1:10" x14ac:dyDescent="0.2">
      <c r="A310" s="1">
        <v>827</v>
      </c>
      <c r="B310" s="1" t="s">
        <v>234</v>
      </c>
      <c r="C310" s="1" t="s">
        <v>235</v>
      </c>
      <c r="E310" s="1" t="s">
        <v>235</v>
      </c>
      <c r="F310" s="1">
        <v>2295380</v>
      </c>
      <c r="H310" s="4">
        <v>44811</v>
      </c>
      <c r="I310" s="1" t="s">
        <v>18</v>
      </c>
      <c r="J310" s="1">
        <v>200</v>
      </c>
    </row>
    <row r="311" spans="1:10" x14ac:dyDescent="0.2">
      <c r="A311" s="1">
        <v>826</v>
      </c>
      <c r="B311" s="1" t="s">
        <v>234</v>
      </c>
      <c r="C311" s="1" t="s">
        <v>235</v>
      </c>
      <c r="E311" s="1" t="s">
        <v>235</v>
      </c>
      <c r="F311" s="1">
        <v>2295380</v>
      </c>
      <c r="H311" s="4">
        <v>44811</v>
      </c>
      <c r="I311" s="1" t="s">
        <v>1</v>
      </c>
      <c r="J311" s="1">
        <v>300</v>
      </c>
    </row>
    <row r="312" spans="1:10" x14ac:dyDescent="0.2">
      <c r="A312" s="1">
        <v>826</v>
      </c>
      <c r="B312" s="1" t="s">
        <v>234</v>
      </c>
      <c r="C312" s="1" t="s">
        <v>235</v>
      </c>
      <c r="E312" s="1" t="s">
        <v>235</v>
      </c>
      <c r="F312" s="1">
        <v>2295380</v>
      </c>
      <c r="H312" s="4">
        <v>44811</v>
      </c>
      <c r="I312" s="1" t="s">
        <v>7</v>
      </c>
      <c r="J312" s="1">
        <v>125</v>
      </c>
    </row>
    <row r="313" spans="1:10" x14ac:dyDescent="0.2">
      <c r="A313" s="1">
        <v>824</v>
      </c>
      <c r="B313" s="1" t="s">
        <v>236</v>
      </c>
      <c r="C313" s="1" t="s">
        <v>237</v>
      </c>
      <c r="E313" s="1" t="s">
        <v>237</v>
      </c>
      <c r="F313" s="1">
        <v>2295379</v>
      </c>
      <c r="H313" s="4">
        <v>44810</v>
      </c>
      <c r="I313" s="1" t="s">
        <v>18</v>
      </c>
      <c r="J313" s="1">
        <v>200</v>
      </c>
    </row>
    <row r="314" spans="1:10" x14ac:dyDescent="0.2">
      <c r="A314" s="1">
        <v>823</v>
      </c>
      <c r="B314" s="1" t="s">
        <v>236</v>
      </c>
      <c r="C314" s="1" t="s">
        <v>237</v>
      </c>
      <c r="E314" s="1" t="s">
        <v>237</v>
      </c>
      <c r="F314" s="1">
        <v>2295379</v>
      </c>
      <c r="H314" s="4">
        <v>44810</v>
      </c>
      <c r="I314" s="1" t="s">
        <v>1</v>
      </c>
      <c r="J314" s="1">
        <v>300</v>
      </c>
    </row>
    <row r="315" spans="1:10" x14ac:dyDescent="0.2">
      <c r="A315" s="1">
        <v>823</v>
      </c>
      <c r="B315" s="1" t="s">
        <v>236</v>
      </c>
      <c r="C315" s="1" t="s">
        <v>237</v>
      </c>
      <c r="E315" s="1" t="s">
        <v>237</v>
      </c>
      <c r="F315" s="1">
        <v>2295379</v>
      </c>
      <c r="H315" s="4">
        <v>44810</v>
      </c>
      <c r="I315" s="1" t="s">
        <v>7</v>
      </c>
      <c r="J315" s="1">
        <v>125</v>
      </c>
    </row>
    <row r="316" spans="1:10" x14ac:dyDescent="0.2">
      <c r="A316" s="1">
        <v>821</v>
      </c>
      <c r="B316" s="1" t="s">
        <v>106</v>
      </c>
      <c r="C316" s="1" t="s">
        <v>107</v>
      </c>
      <c r="E316" s="1" t="s">
        <v>107</v>
      </c>
      <c r="F316" s="1">
        <v>2294842</v>
      </c>
      <c r="H316" s="4">
        <v>44810</v>
      </c>
      <c r="I316" s="1" t="s">
        <v>11</v>
      </c>
      <c r="J316" s="1">
        <v>300</v>
      </c>
    </row>
    <row r="317" spans="1:10" x14ac:dyDescent="0.2">
      <c r="A317" s="1">
        <v>821</v>
      </c>
      <c r="B317" s="1" t="s">
        <v>106</v>
      </c>
      <c r="C317" s="1" t="s">
        <v>107</v>
      </c>
      <c r="E317" s="1" t="s">
        <v>107</v>
      </c>
      <c r="F317" s="1">
        <v>2294842</v>
      </c>
      <c r="H317" s="4">
        <v>44810</v>
      </c>
      <c r="I317" s="1" t="s">
        <v>19</v>
      </c>
      <c r="J317" s="1">
        <v>200</v>
      </c>
    </row>
    <row r="318" spans="1:10" x14ac:dyDescent="0.2">
      <c r="A318" s="1">
        <v>820</v>
      </c>
      <c r="B318" s="1" t="s">
        <v>151</v>
      </c>
      <c r="C318" s="1" t="s">
        <v>152</v>
      </c>
      <c r="E318" s="1" t="s">
        <v>238</v>
      </c>
      <c r="F318" s="1">
        <v>2295244</v>
      </c>
      <c r="H318" s="4">
        <v>44806</v>
      </c>
      <c r="I318" s="1" t="s">
        <v>1</v>
      </c>
      <c r="J318" s="1">
        <v>200</v>
      </c>
    </row>
    <row r="319" spans="1:10" x14ac:dyDescent="0.2">
      <c r="A319" s="1">
        <v>820</v>
      </c>
      <c r="B319" s="1" t="s">
        <v>151</v>
      </c>
      <c r="C319" s="1" t="s">
        <v>152</v>
      </c>
      <c r="E319" s="1" t="s">
        <v>238</v>
      </c>
      <c r="F319" s="1">
        <v>2295244</v>
      </c>
      <c r="H319" s="4">
        <v>44806</v>
      </c>
      <c r="I319" s="1" t="s">
        <v>7</v>
      </c>
      <c r="J319" s="1">
        <v>500</v>
      </c>
    </row>
    <row r="320" spans="1:10" x14ac:dyDescent="0.2">
      <c r="A320" s="1">
        <v>819</v>
      </c>
      <c r="B320" s="1" t="s">
        <v>161</v>
      </c>
      <c r="C320" s="1" t="s">
        <v>162</v>
      </c>
      <c r="E320" s="1" t="s">
        <v>162</v>
      </c>
      <c r="F320" s="1">
        <v>2294453</v>
      </c>
      <c r="H320" s="4">
        <v>44805</v>
      </c>
      <c r="I320" s="1" t="s">
        <v>1</v>
      </c>
      <c r="J320" s="1">
        <v>300</v>
      </c>
    </row>
    <row r="321" spans="1:10" x14ac:dyDescent="0.2">
      <c r="A321" s="1">
        <v>819</v>
      </c>
      <c r="B321" s="1" t="s">
        <v>161</v>
      </c>
      <c r="C321" s="1" t="s">
        <v>162</v>
      </c>
      <c r="E321" s="1" t="s">
        <v>162</v>
      </c>
      <c r="F321" s="1">
        <v>2294453</v>
      </c>
      <c r="H321" s="4">
        <v>44805</v>
      </c>
      <c r="I321" s="1" t="s">
        <v>7</v>
      </c>
      <c r="J321" s="1">
        <v>200</v>
      </c>
    </row>
    <row r="322" spans="1:10" x14ac:dyDescent="0.2">
      <c r="A322" s="1">
        <v>818</v>
      </c>
      <c r="B322" s="1" t="s">
        <v>106</v>
      </c>
      <c r="C322" s="1" t="s">
        <v>107</v>
      </c>
      <c r="E322" s="1" t="s">
        <v>107</v>
      </c>
      <c r="F322" s="1">
        <v>2294842</v>
      </c>
      <c r="H322" s="4">
        <v>44805</v>
      </c>
      <c r="I322" s="1" t="s">
        <v>19</v>
      </c>
      <c r="J322" s="1">
        <v>300</v>
      </c>
    </row>
    <row r="323" spans="1:10" x14ac:dyDescent="0.2">
      <c r="A323" s="1">
        <v>818</v>
      </c>
      <c r="B323" s="1" t="s">
        <v>106</v>
      </c>
      <c r="C323" s="1" t="s">
        <v>107</v>
      </c>
      <c r="E323" s="1" t="s">
        <v>107</v>
      </c>
      <c r="F323" s="1">
        <v>2294842</v>
      </c>
      <c r="H323" s="4">
        <v>44805</v>
      </c>
      <c r="I323" s="1" t="s">
        <v>11</v>
      </c>
      <c r="J323" s="1">
        <v>200</v>
      </c>
    </row>
    <row r="324" spans="1:10" x14ac:dyDescent="0.2">
      <c r="A324" s="1">
        <v>817</v>
      </c>
      <c r="B324" s="1" t="s">
        <v>140</v>
      </c>
      <c r="C324" s="1" t="s">
        <v>141</v>
      </c>
      <c r="E324" s="1" t="s">
        <v>141</v>
      </c>
      <c r="F324" s="1">
        <v>2295202</v>
      </c>
      <c r="H324" s="4">
        <v>44804</v>
      </c>
      <c r="I324" s="1" t="s">
        <v>11</v>
      </c>
      <c r="J324" s="1">
        <v>500</v>
      </c>
    </row>
    <row r="325" spans="1:10" x14ac:dyDescent="0.2">
      <c r="A325" s="1">
        <v>816</v>
      </c>
      <c r="B325" s="1" t="s">
        <v>106</v>
      </c>
      <c r="C325" s="1" t="s">
        <v>107</v>
      </c>
      <c r="E325" s="1" t="s">
        <v>107</v>
      </c>
      <c r="F325" s="1">
        <v>2294842</v>
      </c>
      <c r="H325" s="4">
        <v>44803</v>
      </c>
      <c r="I325" s="1" t="s">
        <v>19</v>
      </c>
      <c r="J325" s="1">
        <v>200</v>
      </c>
    </row>
    <row r="326" spans="1:10" x14ac:dyDescent="0.2">
      <c r="A326" s="1">
        <v>816</v>
      </c>
      <c r="B326" s="1" t="s">
        <v>106</v>
      </c>
      <c r="C326" s="1" t="s">
        <v>107</v>
      </c>
      <c r="E326" s="1" t="s">
        <v>107</v>
      </c>
      <c r="F326" s="1">
        <v>2294842</v>
      </c>
      <c r="H326" s="4">
        <v>44803</v>
      </c>
      <c r="I326" s="1" t="s">
        <v>11</v>
      </c>
      <c r="J326" s="1">
        <v>500</v>
      </c>
    </row>
    <row r="327" spans="1:10" x14ac:dyDescent="0.2">
      <c r="A327" s="1">
        <v>815</v>
      </c>
      <c r="B327" s="1" t="s">
        <v>112</v>
      </c>
      <c r="C327" s="1" t="s">
        <v>113</v>
      </c>
      <c r="F327" s="1">
        <v>2294336</v>
      </c>
      <c r="H327" s="4">
        <v>44802</v>
      </c>
      <c r="I327" s="1" t="s">
        <v>4</v>
      </c>
      <c r="J327" s="1">
        <v>500</v>
      </c>
    </row>
    <row r="328" spans="1:10" x14ac:dyDescent="0.2">
      <c r="A328" s="1">
        <v>812</v>
      </c>
      <c r="B328" s="1" t="s">
        <v>239</v>
      </c>
      <c r="C328" s="1" t="s">
        <v>240</v>
      </c>
      <c r="F328" s="1">
        <v>2294758</v>
      </c>
      <c r="H328" s="4">
        <v>44799</v>
      </c>
      <c r="I328" s="1" t="s">
        <v>12</v>
      </c>
      <c r="J328" s="1">
        <v>200</v>
      </c>
    </row>
    <row r="329" spans="1:10" x14ac:dyDescent="0.2">
      <c r="A329" s="1">
        <v>812</v>
      </c>
      <c r="B329" s="1" t="s">
        <v>239</v>
      </c>
      <c r="C329" s="1" t="s">
        <v>240</v>
      </c>
      <c r="F329" s="1">
        <v>2294758</v>
      </c>
      <c r="H329" s="4">
        <v>44799</v>
      </c>
      <c r="I329" s="1" t="s">
        <v>67</v>
      </c>
      <c r="J329" s="1">
        <v>150</v>
      </c>
    </row>
    <row r="330" spans="1:10" x14ac:dyDescent="0.2">
      <c r="A330" s="1">
        <v>812</v>
      </c>
      <c r="B330" s="1" t="s">
        <v>239</v>
      </c>
      <c r="C330" s="1" t="s">
        <v>240</v>
      </c>
      <c r="F330" s="1">
        <v>2294758</v>
      </c>
      <c r="H330" s="4">
        <v>44799</v>
      </c>
      <c r="I330" s="1" t="s">
        <v>1</v>
      </c>
      <c r="J330" s="1">
        <v>90</v>
      </c>
    </row>
    <row r="331" spans="1:10" x14ac:dyDescent="0.2">
      <c r="A331" s="1">
        <v>810</v>
      </c>
      <c r="B331" s="1" t="s">
        <v>241</v>
      </c>
      <c r="C331" s="1" t="s">
        <v>242</v>
      </c>
      <c r="E331" s="1" t="s">
        <v>242</v>
      </c>
      <c r="F331" s="1">
        <v>2294836</v>
      </c>
      <c r="H331" s="4">
        <v>44798</v>
      </c>
      <c r="I331" s="1" t="s">
        <v>9</v>
      </c>
      <c r="J331" s="1">
        <v>300</v>
      </c>
    </row>
    <row r="332" spans="1:10" x14ac:dyDescent="0.2">
      <c r="A332" s="1">
        <v>810</v>
      </c>
      <c r="B332" s="1" t="s">
        <v>241</v>
      </c>
      <c r="C332" s="1" t="s">
        <v>242</v>
      </c>
      <c r="E332" s="1" t="s">
        <v>242</v>
      </c>
      <c r="F332" s="1">
        <v>2294836</v>
      </c>
      <c r="H332" s="4">
        <v>44798</v>
      </c>
      <c r="I332" s="1" t="s">
        <v>85</v>
      </c>
      <c r="J332" s="1">
        <v>225</v>
      </c>
    </row>
    <row r="333" spans="1:10" x14ac:dyDescent="0.2">
      <c r="A333" s="1">
        <v>810</v>
      </c>
      <c r="B333" s="1" t="s">
        <v>241</v>
      </c>
      <c r="C333" s="1" t="s">
        <v>242</v>
      </c>
      <c r="E333" s="1" t="s">
        <v>242</v>
      </c>
      <c r="F333" s="1">
        <v>2294836</v>
      </c>
      <c r="H333" s="4">
        <v>44798</v>
      </c>
      <c r="I333" s="1" t="s">
        <v>84</v>
      </c>
      <c r="J333" s="1">
        <v>20</v>
      </c>
    </row>
    <row r="334" spans="1:10" x14ac:dyDescent="0.2">
      <c r="A334" s="1">
        <v>809</v>
      </c>
      <c r="C334" s="1" t="s">
        <v>243</v>
      </c>
      <c r="F334" s="1">
        <v>2294490</v>
      </c>
      <c r="H334" s="4">
        <v>44797</v>
      </c>
      <c r="I334" s="1" t="s">
        <v>1</v>
      </c>
      <c r="J334" s="1">
        <v>500</v>
      </c>
    </row>
    <row r="335" spans="1:10" x14ac:dyDescent="0.2">
      <c r="A335" s="1">
        <v>809</v>
      </c>
      <c r="C335" s="1" t="s">
        <v>243</v>
      </c>
      <c r="F335" s="1">
        <v>2294490</v>
      </c>
      <c r="H335" s="4">
        <v>44797</v>
      </c>
      <c r="I335" s="1" t="s">
        <v>7</v>
      </c>
      <c r="J335" s="1">
        <v>20</v>
      </c>
    </row>
    <row r="336" spans="1:10" x14ac:dyDescent="0.2">
      <c r="A336" s="1">
        <v>807</v>
      </c>
      <c r="C336" s="1" t="s">
        <v>244</v>
      </c>
      <c r="F336" s="1">
        <v>2293860</v>
      </c>
      <c r="H336" s="4">
        <v>44796</v>
      </c>
      <c r="I336" s="1" t="s">
        <v>23</v>
      </c>
      <c r="J336" s="1">
        <v>200</v>
      </c>
    </row>
    <row r="337" spans="1:10" x14ac:dyDescent="0.2">
      <c r="A337" s="1">
        <v>806</v>
      </c>
      <c r="B337" s="1" t="s">
        <v>106</v>
      </c>
      <c r="C337" s="1" t="s">
        <v>107</v>
      </c>
      <c r="E337" s="1" t="s">
        <v>107</v>
      </c>
      <c r="F337" s="1">
        <v>2294842</v>
      </c>
      <c r="H337" s="4">
        <v>44792</v>
      </c>
      <c r="I337" s="1" t="s">
        <v>11</v>
      </c>
      <c r="J337" s="1">
        <v>300</v>
      </c>
    </row>
    <row r="338" spans="1:10" x14ac:dyDescent="0.2">
      <c r="A338" s="1">
        <v>806</v>
      </c>
      <c r="B338" s="1" t="s">
        <v>106</v>
      </c>
      <c r="C338" s="1" t="s">
        <v>107</v>
      </c>
      <c r="E338" s="1" t="s">
        <v>107</v>
      </c>
      <c r="F338" s="1">
        <v>2294842</v>
      </c>
      <c r="H338" s="4">
        <v>44792</v>
      </c>
      <c r="I338" s="1" t="s">
        <v>19</v>
      </c>
      <c r="J338" s="1">
        <v>7348</v>
      </c>
    </row>
    <row r="339" spans="1:10" x14ac:dyDescent="0.2">
      <c r="A339" s="1">
        <v>803</v>
      </c>
      <c r="B339" s="1" t="s">
        <v>106</v>
      </c>
      <c r="C339" s="1" t="s">
        <v>107</v>
      </c>
      <c r="E339" s="1" t="s">
        <v>107</v>
      </c>
      <c r="F339" s="1">
        <v>2294842</v>
      </c>
      <c r="H339" s="4">
        <v>44792</v>
      </c>
      <c r="I339" s="1" t="s">
        <v>11</v>
      </c>
      <c r="J339" s="1">
        <v>500</v>
      </c>
    </row>
    <row r="340" spans="1:10" x14ac:dyDescent="0.2">
      <c r="A340" s="1">
        <v>803</v>
      </c>
      <c r="B340" s="1" t="s">
        <v>106</v>
      </c>
      <c r="C340" s="1" t="s">
        <v>107</v>
      </c>
      <c r="E340" s="1" t="s">
        <v>107</v>
      </c>
      <c r="F340" s="1">
        <v>2294842</v>
      </c>
      <c r="H340" s="4">
        <v>44792</v>
      </c>
      <c r="I340" s="1" t="s">
        <v>19</v>
      </c>
      <c r="J340" s="1">
        <v>200</v>
      </c>
    </row>
    <row r="341" spans="1:10" x14ac:dyDescent="0.2">
      <c r="A341" s="1">
        <v>802</v>
      </c>
      <c r="B341" s="1" t="s">
        <v>245</v>
      </c>
      <c r="C341" s="1" t="s">
        <v>246</v>
      </c>
      <c r="E341" s="1" t="s">
        <v>246</v>
      </c>
      <c r="F341" s="1">
        <v>2294392</v>
      </c>
      <c r="H341" s="4">
        <v>44790</v>
      </c>
      <c r="I341" s="1" t="s">
        <v>1</v>
      </c>
      <c r="J341" s="1">
        <v>500</v>
      </c>
    </row>
    <row r="342" spans="1:10" x14ac:dyDescent="0.2">
      <c r="A342" s="1">
        <v>801</v>
      </c>
      <c r="B342" s="1" t="s">
        <v>247</v>
      </c>
      <c r="C342" s="1" t="s">
        <v>248</v>
      </c>
      <c r="E342" s="1" t="s">
        <v>248</v>
      </c>
      <c r="F342" s="1">
        <v>2295235</v>
      </c>
      <c r="H342" s="4">
        <v>44789</v>
      </c>
      <c r="I342" s="1" t="s">
        <v>75</v>
      </c>
      <c r="J342" s="1">
        <v>200</v>
      </c>
    </row>
    <row r="343" spans="1:10" x14ac:dyDescent="0.2">
      <c r="A343" s="1">
        <v>798</v>
      </c>
      <c r="C343" s="1" t="s">
        <v>249</v>
      </c>
      <c r="F343" s="1">
        <v>2294592</v>
      </c>
      <c r="H343" s="4">
        <v>44789</v>
      </c>
      <c r="I343" s="1" t="s">
        <v>17</v>
      </c>
      <c r="J343" s="1">
        <v>300</v>
      </c>
    </row>
    <row r="344" spans="1:10" x14ac:dyDescent="0.2">
      <c r="A344" s="1">
        <v>785</v>
      </c>
      <c r="B344" s="1" t="s">
        <v>250</v>
      </c>
      <c r="C344" s="1" t="s">
        <v>251</v>
      </c>
      <c r="E344" s="1" t="s">
        <v>252</v>
      </c>
      <c r="F344" s="1">
        <v>2294416</v>
      </c>
      <c r="H344" s="4">
        <v>44532</v>
      </c>
      <c r="I344" s="1" t="s">
        <v>31</v>
      </c>
      <c r="J344" s="1">
        <v>100</v>
      </c>
    </row>
    <row r="345" spans="1:10" x14ac:dyDescent="0.2">
      <c r="A345" s="1">
        <v>785</v>
      </c>
      <c r="B345" s="1" t="s">
        <v>250</v>
      </c>
      <c r="C345" s="1" t="s">
        <v>251</v>
      </c>
      <c r="E345" s="1" t="s">
        <v>252</v>
      </c>
      <c r="F345" s="1">
        <v>2294416</v>
      </c>
      <c r="H345" s="4">
        <v>44532</v>
      </c>
      <c r="I345" s="1" t="s">
        <v>35</v>
      </c>
      <c r="J345" s="1">
        <v>88</v>
      </c>
    </row>
    <row r="346" spans="1:10" x14ac:dyDescent="0.2">
      <c r="A346" s="1">
        <v>783</v>
      </c>
      <c r="B346" s="1" t="s">
        <v>106</v>
      </c>
      <c r="C346" s="1" t="s">
        <v>107</v>
      </c>
      <c r="E346" s="1" t="s">
        <v>107</v>
      </c>
      <c r="F346" s="1">
        <v>2294842</v>
      </c>
      <c r="H346" s="4">
        <v>44784</v>
      </c>
      <c r="I346" s="1" t="s">
        <v>82</v>
      </c>
      <c r="J346" s="1">
        <v>100</v>
      </c>
    </row>
    <row r="347" spans="1:10" x14ac:dyDescent="0.2">
      <c r="A347" s="1">
        <v>783</v>
      </c>
      <c r="B347" s="1" t="s">
        <v>106</v>
      </c>
      <c r="C347" s="1" t="s">
        <v>107</v>
      </c>
      <c r="E347" s="1" t="s">
        <v>107</v>
      </c>
      <c r="F347" s="1">
        <v>2294842</v>
      </c>
      <c r="H347" s="4">
        <v>44784</v>
      </c>
      <c r="I347" s="1" t="s">
        <v>10</v>
      </c>
      <c r="J347" s="1">
        <v>250</v>
      </c>
    </row>
    <row r="348" spans="1:10" x14ac:dyDescent="0.2">
      <c r="A348" s="1">
        <v>782</v>
      </c>
      <c r="B348" s="1" t="s">
        <v>253</v>
      </c>
      <c r="C348" s="1" t="s">
        <v>254</v>
      </c>
      <c r="E348" s="1" t="s">
        <v>254</v>
      </c>
      <c r="F348" s="1">
        <v>2294757</v>
      </c>
      <c r="H348" s="4">
        <v>44784</v>
      </c>
      <c r="I348" s="1" t="s">
        <v>1</v>
      </c>
      <c r="J348" s="1">
        <v>160</v>
      </c>
    </row>
    <row r="349" spans="1:10" x14ac:dyDescent="0.2">
      <c r="A349" s="1">
        <v>781</v>
      </c>
      <c r="B349" s="1" t="s">
        <v>106</v>
      </c>
      <c r="C349" s="1" t="s">
        <v>107</v>
      </c>
      <c r="E349" s="1" t="s">
        <v>107</v>
      </c>
      <c r="F349" s="1">
        <v>2294842</v>
      </c>
      <c r="H349" s="4">
        <v>44784</v>
      </c>
      <c r="I349" s="1" t="s">
        <v>11</v>
      </c>
      <c r="J349" s="1">
        <v>40</v>
      </c>
    </row>
    <row r="350" spans="1:10" x14ac:dyDescent="0.2">
      <c r="A350" s="1">
        <v>781</v>
      </c>
      <c r="B350" s="1" t="s">
        <v>106</v>
      </c>
      <c r="C350" s="1" t="s">
        <v>107</v>
      </c>
      <c r="E350" s="1" t="s">
        <v>107</v>
      </c>
      <c r="F350" s="1">
        <v>2294842</v>
      </c>
      <c r="H350" s="4">
        <v>44784</v>
      </c>
      <c r="I350" s="1" t="s">
        <v>1</v>
      </c>
      <c r="J350" s="1">
        <v>300</v>
      </c>
    </row>
    <row r="351" spans="1:10" x14ac:dyDescent="0.2">
      <c r="A351" s="1">
        <v>780</v>
      </c>
      <c r="B351" s="1" t="s">
        <v>255</v>
      </c>
      <c r="C351" s="1" t="s">
        <v>256</v>
      </c>
      <c r="E351" s="1" t="s">
        <v>256</v>
      </c>
      <c r="F351" s="1">
        <v>2295346</v>
      </c>
      <c r="H351" s="4">
        <v>44784</v>
      </c>
      <c r="I351" s="1" t="s">
        <v>7</v>
      </c>
      <c r="J351" s="1">
        <v>500</v>
      </c>
    </row>
    <row r="352" spans="1:10" x14ac:dyDescent="0.2">
      <c r="A352" s="1">
        <v>780</v>
      </c>
      <c r="B352" s="1" t="s">
        <v>255</v>
      </c>
      <c r="C352" s="1" t="s">
        <v>256</v>
      </c>
      <c r="E352" s="1" t="s">
        <v>256</v>
      </c>
      <c r="F352" s="1">
        <v>2295346</v>
      </c>
      <c r="H352" s="4">
        <v>44784</v>
      </c>
      <c r="I352" s="1" t="s">
        <v>1</v>
      </c>
      <c r="J352" s="1">
        <v>300</v>
      </c>
    </row>
    <row r="353" spans="1:10" x14ac:dyDescent="0.2">
      <c r="A353" s="1">
        <v>777</v>
      </c>
      <c r="C353" s="1" t="s">
        <v>187</v>
      </c>
      <c r="F353" s="1">
        <v>2295294</v>
      </c>
      <c r="H353" s="4">
        <v>44783</v>
      </c>
      <c r="I353" s="1" t="s">
        <v>9</v>
      </c>
      <c r="J353" s="1">
        <v>200</v>
      </c>
    </row>
    <row r="354" spans="1:10" x14ac:dyDescent="0.2">
      <c r="A354" s="1">
        <v>776</v>
      </c>
      <c r="C354" s="1" t="s">
        <v>187</v>
      </c>
      <c r="F354" s="1">
        <v>2295294</v>
      </c>
      <c r="H354" s="4">
        <v>44783</v>
      </c>
      <c r="I354" s="1" t="s">
        <v>1</v>
      </c>
      <c r="J354" s="1">
        <v>300</v>
      </c>
    </row>
    <row r="355" spans="1:10" x14ac:dyDescent="0.2">
      <c r="A355" s="1">
        <v>775</v>
      </c>
      <c r="C355" s="1" t="s">
        <v>187</v>
      </c>
      <c r="F355" s="1">
        <v>2295294</v>
      </c>
      <c r="H355" s="4">
        <v>44783</v>
      </c>
      <c r="I355" s="1" t="s">
        <v>1</v>
      </c>
      <c r="J355" s="1">
        <v>500</v>
      </c>
    </row>
    <row r="356" spans="1:10" x14ac:dyDescent="0.2">
      <c r="A356" s="1">
        <v>775</v>
      </c>
      <c r="C356" s="1" t="s">
        <v>187</v>
      </c>
      <c r="F356" s="1">
        <v>2295294</v>
      </c>
      <c r="H356" s="4">
        <v>44783</v>
      </c>
      <c r="I356" s="1" t="s">
        <v>10</v>
      </c>
      <c r="J356" s="1">
        <v>300</v>
      </c>
    </row>
    <row r="357" spans="1:10" x14ac:dyDescent="0.2">
      <c r="A357" s="1">
        <v>772</v>
      </c>
      <c r="B357" s="1" t="s">
        <v>257</v>
      </c>
      <c r="C357" s="1" t="s">
        <v>258</v>
      </c>
      <c r="E357" s="1" t="s">
        <v>258</v>
      </c>
      <c r="F357" s="1">
        <v>2295337</v>
      </c>
      <c r="H357" s="4">
        <v>44782</v>
      </c>
      <c r="I357" s="1" t="s">
        <v>5</v>
      </c>
      <c r="J357" s="1">
        <v>160</v>
      </c>
    </row>
    <row r="358" spans="1:10" x14ac:dyDescent="0.2">
      <c r="A358" s="1">
        <v>772</v>
      </c>
      <c r="B358" s="1" t="s">
        <v>257</v>
      </c>
      <c r="C358" s="1" t="s">
        <v>258</v>
      </c>
      <c r="E358" s="1" t="s">
        <v>258</v>
      </c>
      <c r="F358" s="1">
        <v>2295337</v>
      </c>
      <c r="H358" s="4">
        <v>44782</v>
      </c>
      <c r="I358" s="1" t="s">
        <v>6</v>
      </c>
      <c r="J358" s="1">
        <v>300</v>
      </c>
    </row>
    <row r="359" spans="1:10" x14ac:dyDescent="0.2">
      <c r="A359" s="1">
        <v>770</v>
      </c>
      <c r="B359" s="1" t="s">
        <v>257</v>
      </c>
      <c r="C359" s="1" t="s">
        <v>258</v>
      </c>
      <c r="E359" s="1" t="s">
        <v>258</v>
      </c>
      <c r="F359" s="1">
        <v>2295337</v>
      </c>
      <c r="H359" s="4">
        <v>44782</v>
      </c>
      <c r="I359" s="1" t="s">
        <v>1</v>
      </c>
      <c r="J359" s="1">
        <v>1000</v>
      </c>
    </row>
    <row r="360" spans="1:10" x14ac:dyDescent="0.2">
      <c r="A360" s="1">
        <v>770</v>
      </c>
      <c r="B360" s="1" t="s">
        <v>257</v>
      </c>
      <c r="C360" s="1" t="s">
        <v>258</v>
      </c>
      <c r="E360" s="1" t="s">
        <v>258</v>
      </c>
      <c r="F360" s="1">
        <v>2295337</v>
      </c>
      <c r="H360" s="4">
        <v>44782</v>
      </c>
      <c r="I360" s="1" t="s">
        <v>7</v>
      </c>
      <c r="J360" s="1">
        <v>1250</v>
      </c>
    </row>
    <row r="361" spans="1:10" x14ac:dyDescent="0.2">
      <c r="A361" s="1">
        <v>768</v>
      </c>
      <c r="B361" s="1" t="s">
        <v>106</v>
      </c>
      <c r="C361" s="1" t="s">
        <v>107</v>
      </c>
      <c r="E361" s="1" t="s">
        <v>107</v>
      </c>
      <c r="F361" s="1">
        <v>2294842</v>
      </c>
      <c r="H361" s="4">
        <v>44778</v>
      </c>
      <c r="I361" s="1" t="s">
        <v>29</v>
      </c>
      <c r="J361" s="1">
        <v>200</v>
      </c>
    </row>
    <row r="362" spans="1:10" x14ac:dyDescent="0.2">
      <c r="A362" s="1">
        <v>768</v>
      </c>
      <c r="B362" s="1" t="s">
        <v>106</v>
      </c>
      <c r="C362" s="1" t="s">
        <v>107</v>
      </c>
      <c r="E362" s="1" t="s">
        <v>107</v>
      </c>
      <c r="F362" s="1">
        <v>2294842</v>
      </c>
      <c r="H362" s="4">
        <v>44778</v>
      </c>
      <c r="I362" s="1" t="s">
        <v>19</v>
      </c>
      <c r="J362" s="1">
        <v>300</v>
      </c>
    </row>
    <row r="363" spans="1:10" x14ac:dyDescent="0.2">
      <c r="A363" s="1">
        <v>767</v>
      </c>
      <c r="B363" s="1" t="s">
        <v>259</v>
      </c>
      <c r="C363" s="1" t="s">
        <v>260</v>
      </c>
      <c r="E363" s="1" t="s">
        <v>260</v>
      </c>
      <c r="F363" s="1">
        <v>2294838</v>
      </c>
      <c r="H363" s="4">
        <v>44778</v>
      </c>
      <c r="I363" s="1" t="s">
        <v>39</v>
      </c>
      <c r="J363" s="1">
        <v>200</v>
      </c>
    </row>
    <row r="364" spans="1:10" x14ac:dyDescent="0.2">
      <c r="A364" s="1">
        <v>766</v>
      </c>
      <c r="B364" s="1" t="s">
        <v>130</v>
      </c>
      <c r="C364" s="1" t="s">
        <v>131</v>
      </c>
      <c r="F364" s="1">
        <v>2294769</v>
      </c>
      <c r="H364" s="4">
        <v>44777</v>
      </c>
      <c r="I364" s="1" t="s">
        <v>4</v>
      </c>
      <c r="J364" s="1">
        <v>500</v>
      </c>
    </row>
    <row r="365" spans="1:10" x14ac:dyDescent="0.2">
      <c r="A365" s="1">
        <v>765</v>
      </c>
      <c r="B365" s="1" t="s">
        <v>261</v>
      </c>
      <c r="C365" s="1" t="s">
        <v>172</v>
      </c>
      <c r="E365" s="1" t="s">
        <v>173</v>
      </c>
      <c r="F365" s="1">
        <v>2294497</v>
      </c>
      <c r="H365" s="4">
        <v>44776</v>
      </c>
      <c r="I365" s="1" t="s">
        <v>24</v>
      </c>
      <c r="J365" s="1">
        <v>4</v>
      </c>
    </row>
    <row r="366" spans="1:10" x14ac:dyDescent="0.2">
      <c r="A366" s="1">
        <v>763</v>
      </c>
      <c r="C366" s="1" t="s">
        <v>262</v>
      </c>
      <c r="F366" s="1">
        <v>2294963</v>
      </c>
      <c r="H366" s="4">
        <v>44770</v>
      </c>
      <c r="I366" s="1" t="s">
        <v>4</v>
      </c>
      <c r="J366" s="1">
        <v>150</v>
      </c>
    </row>
    <row r="367" spans="1:10" x14ac:dyDescent="0.2">
      <c r="A367" s="1">
        <v>762</v>
      </c>
      <c r="C367" s="1" t="s">
        <v>262</v>
      </c>
      <c r="F367" s="1">
        <v>2294963</v>
      </c>
      <c r="H367" s="4">
        <v>44770</v>
      </c>
      <c r="I367" s="1" t="s">
        <v>3</v>
      </c>
      <c r="J367" s="1">
        <v>10</v>
      </c>
    </row>
    <row r="368" spans="1:10" x14ac:dyDescent="0.2">
      <c r="A368" s="1">
        <v>761</v>
      </c>
      <c r="B368" s="1" t="s">
        <v>159</v>
      </c>
      <c r="C368" s="1" t="s">
        <v>160</v>
      </c>
      <c r="E368" s="1" t="s">
        <v>160</v>
      </c>
      <c r="F368" s="1">
        <v>2294546</v>
      </c>
      <c r="H368" s="4">
        <v>44769</v>
      </c>
      <c r="I368" s="1" t="s">
        <v>4</v>
      </c>
      <c r="J368" s="1">
        <v>150</v>
      </c>
    </row>
    <row r="369" spans="1:10" x14ac:dyDescent="0.2">
      <c r="A369" s="1">
        <v>759</v>
      </c>
      <c r="B369" s="1" t="s">
        <v>261</v>
      </c>
      <c r="C369" s="1" t="s">
        <v>172</v>
      </c>
      <c r="E369" s="1" t="s">
        <v>173</v>
      </c>
      <c r="F369" s="1">
        <v>2294497</v>
      </c>
      <c r="H369" s="4">
        <v>44769</v>
      </c>
      <c r="I369" s="1" t="s">
        <v>58</v>
      </c>
      <c r="J369" s="1">
        <v>100</v>
      </c>
    </row>
    <row r="370" spans="1:10" x14ac:dyDescent="0.2">
      <c r="A370" s="1">
        <v>759</v>
      </c>
      <c r="B370" s="1" t="s">
        <v>261</v>
      </c>
      <c r="C370" s="1" t="s">
        <v>172</v>
      </c>
      <c r="E370" s="1" t="s">
        <v>173</v>
      </c>
      <c r="F370" s="1">
        <v>2294497</v>
      </c>
      <c r="H370" s="4">
        <v>44769</v>
      </c>
      <c r="I370" s="1" t="s">
        <v>64</v>
      </c>
      <c r="J370" s="1">
        <v>150</v>
      </c>
    </row>
    <row r="371" spans="1:10" x14ac:dyDescent="0.2">
      <c r="A371" s="1">
        <v>757</v>
      </c>
      <c r="B371" s="1" t="s">
        <v>261</v>
      </c>
      <c r="C371" s="1" t="s">
        <v>172</v>
      </c>
      <c r="E371" s="1" t="s">
        <v>173</v>
      </c>
      <c r="F371" s="1">
        <v>2294497</v>
      </c>
      <c r="H371" s="4">
        <v>44769</v>
      </c>
      <c r="I371" s="1" t="s">
        <v>2</v>
      </c>
      <c r="J371" s="1">
        <v>50</v>
      </c>
    </row>
    <row r="372" spans="1:10" x14ac:dyDescent="0.2">
      <c r="A372" s="1">
        <v>756</v>
      </c>
      <c r="B372" s="1" t="s">
        <v>261</v>
      </c>
      <c r="C372" s="1" t="s">
        <v>172</v>
      </c>
      <c r="F372" s="1">
        <v>2294497</v>
      </c>
      <c r="H372" s="4">
        <v>44762</v>
      </c>
      <c r="I372" s="1" t="s">
        <v>63</v>
      </c>
      <c r="J372" s="1">
        <v>300</v>
      </c>
    </row>
    <row r="373" spans="1:10" x14ac:dyDescent="0.2">
      <c r="A373" s="1">
        <v>755</v>
      </c>
      <c r="B373" s="1" t="s">
        <v>263</v>
      </c>
      <c r="C373" s="1" t="s">
        <v>264</v>
      </c>
      <c r="F373" s="1">
        <v>2295273</v>
      </c>
      <c r="H373" s="4">
        <v>44768</v>
      </c>
      <c r="I373" s="1" t="s">
        <v>1</v>
      </c>
      <c r="J373" s="1">
        <v>25</v>
      </c>
    </row>
    <row r="374" spans="1:10" x14ac:dyDescent="0.2">
      <c r="A374" s="1">
        <v>755</v>
      </c>
      <c r="B374" s="1" t="s">
        <v>263</v>
      </c>
      <c r="C374" s="1" t="s">
        <v>264</v>
      </c>
      <c r="F374" s="1">
        <v>2295273</v>
      </c>
      <c r="H374" s="4">
        <v>44768</v>
      </c>
      <c r="I374" s="1" t="s">
        <v>7</v>
      </c>
      <c r="J374" s="1">
        <v>58</v>
      </c>
    </row>
    <row r="375" spans="1:10" x14ac:dyDescent="0.2">
      <c r="A375" s="1">
        <v>753</v>
      </c>
      <c r="B375" s="1" t="s">
        <v>163</v>
      </c>
      <c r="C375" s="1" t="s">
        <v>164</v>
      </c>
      <c r="E375" s="1" t="s">
        <v>164</v>
      </c>
      <c r="F375" s="1">
        <v>2294823</v>
      </c>
      <c r="H375" s="4">
        <v>44768</v>
      </c>
      <c r="I375" s="1" t="s">
        <v>4</v>
      </c>
      <c r="J375" s="1">
        <v>200</v>
      </c>
    </row>
    <row r="376" spans="1:10" x14ac:dyDescent="0.2">
      <c r="A376" s="1">
        <v>752</v>
      </c>
      <c r="B376" s="1" t="s">
        <v>163</v>
      </c>
      <c r="C376" s="1" t="s">
        <v>164</v>
      </c>
      <c r="E376" s="1" t="s">
        <v>164</v>
      </c>
      <c r="F376" s="1">
        <v>2294823</v>
      </c>
      <c r="H376" s="4">
        <v>44768</v>
      </c>
      <c r="I376" s="1" t="s">
        <v>7</v>
      </c>
      <c r="J376" s="1">
        <v>300</v>
      </c>
    </row>
    <row r="377" spans="1:10" x14ac:dyDescent="0.2">
      <c r="A377" s="1">
        <v>752</v>
      </c>
      <c r="B377" s="1" t="s">
        <v>163</v>
      </c>
      <c r="C377" s="1" t="s">
        <v>164</v>
      </c>
      <c r="E377" s="1" t="s">
        <v>164</v>
      </c>
      <c r="F377" s="1">
        <v>2294823</v>
      </c>
      <c r="H377" s="4">
        <v>44768</v>
      </c>
      <c r="I377" s="1" t="s">
        <v>1</v>
      </c>
      <c r="J377" s="1">
        <v>150</v>
      </c>
    </row>
    <row r="378" spans="1:10" x14ac:dyDescent="0.2">
      <c r="A378" s="1">
        <v>750</v>
      </c>
      <c r="B378" s="1" t="s">
        <v>261</v>
      </c>
      <c r="C378" s="1" t="s">
        <v>172</v>
      </c>
      <c r="F378" s="1">
        <v>2294497</v>
      </c>
      <c r="H378" s="4">
        <v>44764</v>
      </c>
      <c r="I378" s="1" t="s">
        <v>46</v>
      </c>
      <c r="J378" s="1">
        <v>300</v>
      </c>
    </row>
    <row r="379" spans="1:10" x14ac:dyDescent="0.2">
      <c r="A379" s="1">
        <v>746</v>
      </c>
      <c r="B379" s="1" t="s">
        <v>193</v>
      </c>
      <c r="C379" s="1" t="s">
        <v>194</v>
      </c>
      <c r="E379" s="1" t="s">
        <v>194</v>
      </c>
      <c r="F379" s="1">
        <v>2294175</v>
      </c>
      <c r="H379" s="4">
        <v>44509</v>
      </c>
      <c r="I379" s="1" t="s">
        <v>21</v>
      </c>
      <c r="J379" s="1">
        <v>200</v>
      </c>
    </row>
    <row r="380" spans="1:10" x14ac:dyDescent="0.2">
      <c r="A380" s="1">
        <v>746</v>
      </c>
      <c r="B380" s="1" t="s">
        <v>193</v>
      </c>
      <c r="C380" s="1" t="s">
        <v>194</v>
      </c>
      <c r="E380" s="1" t="s">
        <v>194</v>
      </c>
      <c r="F380" s="1">
        <v>2294175</v>
      </c>
      <c r="H380" s="4">
        <v>44509</v>
      </c>
      <c r="I380" s="1" t="s">
        <v>31</v>
      </c>
      <c r="J380" s="1">
        <v>10</v>
      </c>
    </row>
    <row r="381" spans="1:10" x14ac:dyDescent="0.2">
      <c r="A381" s="1">
        <v>746</v>
      </c>
      <c r="B381" s="1" t="s">
        <v>193</v>
      </c>
      <c r="C381" s="1" t="s">
        <v>194</v>
      </c>
      <c r="E381" s="1" t="s">
        <v>194</v>
      </c>
      <c r="F381" s="1">
        <v>2294175</v>
      </c>
      <c r="H381" s="4">
        <v>44509</v>
      </c>
      <c r="I381" s="1" t="s">
        <v>20</v>
      </c>
      <c r="J381" s="1">
        <v>100</v>
      </c>
    </row>
    <row r="382" spans="1:10" x14ac:dyDescent="0.2">
      <c r="A382" s="1">
        <v>745</v>
      </c>
      <c r="B382" s="1" t="s">
        <v>106</v>
      </c>
      <c r="C382" s="1" t="s">
        <v>107</v>
      </c>
      <c r="E382" s="1" t="s">
        <v>107</v>
      </c>
      <c r="F382" s="1">
        <v>2294842</v>
      </c>
      <c r="H382" s="4">
        <v>44763</v>
      </c>
      <c r="I382" s="1" t="s">
        <v>11</v>
      </c>
      <c r="J382" s="1">
        <v>58</v>
      </c>
    </row>
    <row r="383" spans="1:10" x14ac:dyDescent="0.2">
      <c r="A383" s="1">
        <v>745</v>
      </c>
      <c r="B383" s="1" t="s">
        <v>106</v>
      </c>
      <c r="C383" s="1" t="s">
        <v>107</v>
      </c>
      <c r="E383" s="1" t="s">
        <v>107</v>
      </c>
      <c r="F383" s="1">
        <v>2294842</v>
      </c>
      <c r="H383" s="4">
        <v>44763</v>
      </c>
      <c r="I383" s="1" t="s">
        <v>19</v>
      </c>
      <c r="J383" s="1">
        <v>100</v>
      </c>
    </row>
    <row r="384" spans="1:10" x14ac:dyDescent="0.2">
      <c r="A384" s="1">
        <v>744</v>
      </c>
      <c r="B384" s="1" t="s">
        <v>265</v>
      </c>
      <c r="C384" s="1" t="s">
        <v>266</v>
      </c>
      <c r="E384" s="1" t="s">
        <v>266</v>
      </c>
      <c r="F384" s="1">
        <v>2294952</v>
      </c>
      <c r="H384" s="4">
        <v>44763</v>
      </c>
      <c r="I384" s="1" t="s">
        <v>5</v>
      </c>
      <c r="J384" s="1">
        <v>400</v>
      </c>
    </row>
    <row r="385" spans="1:10" x14ac:dyDescent="0.2">
      <c r="A385" s="1">
        <v>744</v>
      </c>
      <c r="B385" s="1" t="s">
        <v>265</v>
      </c>
      <c r="C385" s="1" t="s">
        <v>266</v>
      </c>
      <c r="E385" s="1" t="s">
        <v>266</v>
      </c>
      <c r="F385" s="1">
        <v>2294952</v>
      </c>
      <c r="H385" s="4">
        <v>44763</v>
      </c>
      <c r="I385" s="1" t="s">
        <v>18</v>
      </c>
      <c r="J385" s="1">
        <v>500</v>
      </c>
    </row>
    <row r="386" spans="1:10" x14ac:dyDescent="0.2">
      <c r="A386" s="1">
        <v>742</v>
      </c>
      <c r="B386" s="1" t="s">
        <v>161</v>
      </c>
      <c r="C386" s="1" t="s">
        <v>162</v>
      </c>
      <c r="E386" s="1" t="s">
        <v>162</v>
      </c>
      <c r="F386" s="1">
        <v>2294453</v>
      </c>
      <c r="H386" s="4">
        <v>44762</v>
      </c>
      <c r="I386" s="1" t="s">
        <v>4</v>
      </c>
      <c r="J386" s="1">
        <v>125</v>
      </c>
    </row>
    <row r="387" spans="1:10" x14ac:dyDescent="0.2">
      <c r="A387" s="1">
        <v>740</v>
      </c>
      <c r="B387" s="1" t="s">
        <v>261</v>
      </c>
      <c r="C387" s="1" t="s">
        <v>172</v>
      </c>
      <c r="E387" s="1" t="s">
        <v>172</v>
      </c>
      <c r="F387" s="1">
        <v>2294497</v>
      </c>
      <c r="H387" s="4">
        <v>44762</v>
      </c>
      <c r="I387" s="1" t="s">
        <v>43</v>
      </c>
      <c r="J387" s="1">
        <v>1250</v>
      </c>
    </row>
    <row r="388" spans="1:10" x14ac:dyDescent="0.2">
      <c r="A388" s="1">
        <v>738</v>
      </c>
      <c r="B388" s="1" t="s">
        <v>261</v>
      </c>
      <c r="C388" s="1" t="s">
        <v>172</v>
      </c>
      <c r="E388" s="1" t="s">
        <v>172</v>
      </c>
      <c r="F388" s="1">
        <v>2294497</v>
      </c>
      <c r="H388" s="4">
        <v>44762</v>
      </c>
      <c r="I388" s="1" t="s">
        <v>65</v>
      </c>
      <c r="J388" s="1">
        <v>150</v>
      </c>
    </row>
    <row r="389" spans="1:10" x14ac:dyDescent="0.2">
      <c r="A389" s="1">
        <v>736</v>
      </c>
      <c r="B389" s="1" t="s">
        <v>267</v>
      </c>
      <c r="C389" s="1" t="s">
        <v>268</v>
      </c>
      <c r="E389" s="1" t="s">
        <v>268</v>
      </c>
      <c r="F389" s="1">
        <v>2294448</v>
      </c>
      <c r="H389" s="4">
        <v>44761</v>
      </c>
      <c r="I389" s="1" t="s">
        <v>68</v>
      </c>
      <c r="J389" s="1">
        <v>50</v>
      </c>
    </row>
    <row r="390" spans="1:10" x14ac:dyDescent="0.2">
      <c r="A390" s="1">
        <v>735</v>
      </c>
      <c r="B390" s="1" t="s">
        <v>106</v>
      </c>
      <c r="C390" s="1" t="s">
        <v>107</v>
      </c>
      <c r="E390" s="1" t="s">
        <v>107</v>
      </c>
      <c r="F390" s="1">
        <v>2294842</v>
      </c>
      <c r="H390" s="4">
        <v>44761</v>
      </c>
      <c r="I390" s="1" t="s">
        <v>12</v>
      </c>
      <c r="J390" s="1">
        <v>25</v>
      </c>
    </row>
    <row r="391" spans="1:10" x14ac:dyDescent="0.2">
      <c r="A391" s="1">
        <v>735</v>
      </c>
      <c r="B391" s="1" t="s">
        <v>106</v>
      </c>
      <c r="C391" s="1" t="s">
        <v>107</v>
      </c>
      <c r="E391" s="1" t="s">
        <v>107</v>
      </c>
      <c r="F391" s="1">
        <v>2294842</v>
      </c>
      <c r="H391" s="4">
        <v>44761</v>
      </c>
      <c r="I391" s="1" t="s">
        <v>1</v>
      </c>
      <c r="J391" s="1">
        <v>2000</v>
      </c>
    </row>
    <row r="392" spans="1:10" x14ac:dyDescent="0.2">
      <c r="A392" s="1">
        <v>734</v>
      </c>
      <c r="B392" s="1" t="s">
        <v>269</v>
      </c>
      <c r="C392" s="1" t="s">
        <v>270</v>
      </c>
      <c r="E392" s="1" t="s">
        <v>270</v>
      </c>
      <c r="F392" s="1">
        <v>2294791</v>
      </c>
      <c r="H392" s="4">
        <v>44761</v>
      </c>
      <c r="I392" s="1" t="s">
        <v>1</v>
      </c>
      <c r="J392" s="1">
        <v>300</v>
      </c>
    </row>
    <row r="393" spans="1:10" x14ac:dyDescent="0.2">
      <c r="A393" s="1">
        <v>732</v>
      </c>
      <c r="B393" s="1" t="s">
        <v>271</v>
      </c>
      <c r="C393" s="1" t="s">
        <v>122</v>
      </c>
      <c r="E393" s="1" t="s">
        <v>122</v>
      </c>
      <c r="F393" s="1">
        <v>2294787</v>
      </c>
      <c r="H393" s="4">
        <v>44760</v>
      </c>
      <c r="I393" s="1" t="s">
        <v>1</v>
      </c>
      <c r="J393" s="1">
        <v>0.75</v>
      </c>
    </row>
    <row r="394" spans="1:10" x14ac:dyDescent="0.2">
      <c r="A394" s="1">
        <v>732</v>
      </c>
      <c r="B394" s="1" t="s">
        <v>271</v>
      </c>
      <c r="C394" s="1" t="s">
        <v>122</v>
      </c>
      <c r="E394" s="1" t="s">
        <v>122</v>
      </c>
      <c r="F394" s="1">
        <v>2294787</v>
      </c>
      <c r="H394" s="4">
        <v>44760</v>
      </c>
      <c r="I394" s="1" t="s">
        <v>7</v>
      </c>
      <c r="J394" s="1">
        <v>300</v>
      </c>
    </row>
    <row r="395" spans="1:10" x14ac:dyDescent="0.2">
      <c r="A395" s="1">
        <v>731</v>
      </c>
      <c r="B395" s="1" t="s">
        <v>106</v>
      </c>
      <c r="C395" s="1" t="s">
        <v>107</v>
      </c>
      <c r="E395" s="1" t="s">
        <v>107</v>
      </c>
      <c r="F395" s="1">
        <v>2294842</v>
      </c>
      <c r="H395" s="4">
        <v>44760</v>
      </c>
      <c r="I395" s="1" t="s">
        <v>19</v>
      </c>
      <c r="J395" s="1">
        <v>200</v>
      </c>
    </row>
    <row r="396" spans="1:10" x14ac:dyDescent="0.2">
      <c r="A396" s="1">
        <v>731</v>
      </c>
      <c r="B396" s="1" t="s">
        <v>106</v>
      </c>
      <c r="C396" s="1" t="s">
        <v>107</v>
      </c>
      <c r="E396" s="1" t="s">
        <v>107</v>
      </c>
      <c r="F396" s="1">
        <v>2294842</v>
      </c>
      <c r="H396" s="4">
        <v>44760</v>
      </c>
      <c r="I396" s="1" t="s">
        <v>11</v>
      </c>
      <c r="J396" s="1">
        <v>300</v>
      </c>
    </row>
    <row r="397" spans="1:10" x14ac:dyDescent="0.2">
      <c r="A397" s="1">
        <v>730</v>
      </c>
      <c r="B397" s="1" t="s">
        <v>106</v>
      </c>
      <c r="C397" s="1" t="s">
        <v>107</v>
      </c>
      <c r="E397" s="1" t="s">
        <v>107</v>
      </c>
      <c r="F397" s="1">
        <v>2294842</v>
      </c>
      <c r="H397" s="4">
        <v>44757</v>
      </c>
      <c r="I397" s="1" t="s">
        <v>11</v>
      </c>
      <c r="J397" s="1">
        <v>400</v>
      </c>
    </row>
    <row r="398" spans="1:10" x14ac:dyDescent="0.2">
      <c r="A398" s="1">
        <v>730</v>
      </c>
      <c r="B398" s="1" t="s">
        <v>106</v>
      </c>
      <c r="C398" s="1" t="s">
        <v>107</v>
      </c>
      <c r="E398" s="1" t="s">
        <v>107</v>
      </c>
      <c r="F398" s="1">
        <v>2294842</v>
      </c>
      <c r="H398" s="4">
        <v>44757</v>
      </c>
      <c r="I398" s="1" t="s">
        <v>19</v>
      </c>
      <c r="J398" s="1">
        <v>500</v>
      </c>
    </row>
    <row r="399" spans="1:10" x14ac:dyDescent="0.2">
      <c r="A399" s="1">
        <v>729</v>
      </c>
      <c r="B399" s="1" t="s">
        <v>106</v>
      </c>
      <c r="C399" s="1" t="s">
        <v>107</v>
      </c>
      <c r="E399" s="1" t="s">
        <v>107</v>
      </c>
      <c r="F399" s="1">
        <v>2294842</v>
      </c>
      <c r="H399" s="4">
        <v>44757</v>
      </c>
      <c r="I399" s="1" t="s">
        <v>11</v>
      </c>
      <c r="J399" s="1">
        <v>500</v>
      </c>
    </row>
    <row r="400" spans="1:10" x14ac:dyDescent="0.2">
      <c r="A400" s="1">
        <v>729</v>
      </c>
      <c r="B400" s="1" t="s">
        <v>106</v>
      </c>
      <c r="C400" s="1" t="s">
        <v>107</v>
      </c>
      <c r="E400" s="1" t="s">
        <v>107</v>
      </c>
      <c r="F400" s="1">
        <v>2294842</v>
      </c>
      <c r="H400" s="4">
        <v>44757</v>
      </c>
      <c r="I400" s="1" t="s">
        <v>19</v>
      </c>
      <c r="J400" s="1">
        <v>400</v>
      </c>
    </row>
    <row r="401" spans="1:10" x14ac:dyDescent="0.2">
      <c r="A401" s="1">
        <v>728</v>
      </c>
      <c r="B401" s="1" t="s">
        <v>155</v>
      </c>
      <c r="C401" s="1" t="s">
        <v>156</v>
      </c>
      <c r="E401" s="1" t="s">
        <v>156</v>
      </c>
      <c r="F401" s="1">
        <v>2294603</v>
      </c>
      <c r="H401" s="4">
        <v>44756</v>
      </c>
      <c r="I401" s="1" t="s">
        <v>7</v>
      </c>
      <c r="J401" s="1">
        <v>400</v>
      </c>
    </row>
    <row r="402" spans="1:10" x14ac:dyDescent="0.2">
      <c r="A402" s="1">
        <v>728</v>
      </c>
      <c r="B402" s="1" t="s">
        <v>155</v>
      </c>
      <c r="C402" s="1" t="s">
        <v>156</v>
      </c>
      <c r="E402" s="1" t="s">
        <v>156</v>
      </c>
      <c r="F402" s="1">
        <v>2294603</v>
      </c>
      <c r="H402" s="4">
        <v>44756</v>
      </c>
      <c r="I402" s="1" t="s">
        <v>1</v>
      </c>
      <c r="J402" s="1">
        <v>500</v>
      </c>
    </row>
    <row r="403" spans="1:10" x14ac:dyDescent="0.2">
      <c r="A403" s="1">
        <v>727</v>
      </c>
      <c r="B403" s="1" t="s">
        <v>272</v>
      </c>
      <c r="C403" s="1" t="s">
        <v>273</v>
      </c>
      <c r="E403" s="1" t="s">
        <v>273</v>
      </c>
      <c r="F403" s="1">
        <v>2294795</v>
      </c>
      <c r="H403" s="4">
        <v>44756</v>
      </c>
      <c r="I403" s="1" t="s">
        <v>9</v>
      </c>
      <c r="J403" s="1">
        <v>200</v>
      </c>
    </row>
    <row r="404" spans="1:10" x14ac:dyDescent="0.2">
      <c r="A404" s="1">
        <v>726</v>
      </c>
      <c r="B404" s="1" t="s">
        <v>155</v>
      </c>
      <c r="C404" s="1" t="s">
        <v>156</v>
      </c>
      <c r="E404" s="1" t="s">
        <v>156</v>
      </c>
      <c r="F404" s="1">
        <v>2294603</v>
      </c>
      <c r="H404" s="4">
        <v>44756</v>
      </c>
      <c r="I404" s="1" t="s">
        <v>1</v>
      </c>
      <c r="J404" s="1">
        <v>300</v>
      </c>
    </row>
    <row r="405" spans="1:10" x14ac:dyDescent="0.2">
      <c r="A405" s="1">
        <v>726</v>
      </c>
      <c r="B405" s="1" t="s">
        <v>155</v>
      </c>
      <c r="C405" s="1" t="s">
        <v>156</v>
      </c>
      <c r="E405" s="1" t="s">
        <v>156</v>
      </c>
      <c r="F405" s="1">
        <v>2294603</v>
      </c>
      <c r="H405" s="4">
        <v>44756</v>
      </c>
      <c r="I405" s="1" t="s">
        <v>7</v>
      </c>
      <c r="J405" s="1">
        <v>500</v>
      </c>
    </row>
    <row r="406" spans="1:10" x14ac:dyDescent="0.2">
      <c r="A406" s="1">
        <v>724</v>
      </c>
      <c r="B406" s="1" t="s">
        <v>274</v>
      </c>
      <c r="C406" s="1" t="s">
        <v>275</v>
      </c>
      <c r="E406" s="1" t="s">
        <v>275</v>
      </c>
      <c r="F406" s="1">
        <v>2295102</v>
      </c>
      <c r="H406" s="4">
        <v>44755</v>
      </c>
      <c r="I406" s="1" t="s">
        <v>24</v>
      </c>
      <c r="J406" s="1">
        <v>200</v>
      </c>
    </row>
    <row r="407" spans="1:10" x14ac:dyDescent="0.2">
      <c r="A407" s="1">
        <v>723</v>
      </c>
      <c r="B407" s="1" t="s">
        <v>276</v>
      </c>
      <c r="C407" s="1" t="s">
        <v>277</v>
      </c>
      <c r="E407" s="1" t="s">
        <v>277</v>
      </c>
      <c r="F407" s="1">
        <v>2293848</v>
      </c>
      <c r="H407" s="4">
        <v>44754</v>
      </c>
      <c r="I407" s="1" t="s">
        <v>5</v>
      </c>
      <c r="J407" s="1">
        <v>300</v>
      </c>
    </row>
    <row r="408" spans="1:10" x14ac:dyDescent="0.2">
      <c r="A408" s="1">
        <v>721</v>
      </c>
      <c r="B408" s="1" t="s">
        <v>130</v>
      </c>
      <c r="C408" s="1" t="s">
        <v>131</v>
      </c>
      <c r="E408" s="1" t="s">
        <v>131</v>
      </c>
      <c r="F408" s="1">
        <v>2294769</v>
      </c>
      <c r="H408" s="4">
        <v>44753</v>
      </c>
      <c r="I408" s="1" t="s">
        <v>63</v>
      </c>
      <c r="J408" s="1">
        <v>10</v>
      </c>
    </row>
    <row r="409" spans="1:10" x14ac:dyDescent="0.2">
      <c r="A409" s="1">
        <v>721</v>
      </c>
      <c r="B409" s="1" t="s">
        <v>130</v>
      </c>
      <c r="C409" s="1" t="s">
        <v>131</v>
      </c>
      <c r="E409" s="1" t="s">
        <v>131</v>
      </c>
      <c r="F409" s="1">
        <v>2294769</v>
      </c>
      <c r="H409" s="4">
        <v>44753</v>
      </c>
      <c r="I409" s="1" t="s">
        <v>21</v>
      </c>
      <c r="J409" s="1">
        <v>1250</v>
      </c>
    </row>
    <row r="410" spans="1:10" x14ac:dyDescent="0.2">
      <c r="A410" s="1">
        <v>720</v>
      </c>
      <c r="B410" s="1" t="s">
        <v>106</v>
      </c>
      <c r="C410" s="1" t="s">
        <v>107</v>
      </c>
      <c r="E410" s="1" t="s">
        <v>107</v>
      </c>
      <c r="F410" s="1">
        <v>2294842</v>
      </c>
      <c r="H410" s="4">
        <v>44750</v>
      </c>
      <c r="I410" s="1" t="s">
        <v>11</v>
      </c>
      <c r="J410" s="1">
        <v>58</v>
      </c>
    </row>
    <row r="411" spans="1:10" x14ac:dyDescent="0.2">
      <c r="A411" s="1">
        <v>720</v>
      </c>
      <c r="B411" s="1" t="s">
        <v>106</v>
      </c>
      <c r="C411" s="1" t="s">
        <v>107</v>
      </c>
      <c r="E411" s="1" t="s">
        <v>107</v>
      </c>
      <c r="F411" s="1">
        <v>2294842</v>
      </c>
      <c r="H411" s="4">
        <v>44750</v>
      </c>
      <c r="I411" s="1" t="s">
        <v>1</v>
      </c>
      <c r="J411" s="1">
        <v>116</v>
      </c>
    </row>
    <row r="412" spans="1:10" x14ac:dyDescent="0.2">
      <c r="A412" s="1">
        <v>719</v>
      </c>
      <c r="B412" s="1" t="s">
        <v>106</v>
      </c>
      <c r="C412" s="1" t="s">
        <v>107</v>
      </c>
      <c r="E412" s="1" t="s">
        <v>107</v>
      </c>
      <c r="F412" s="1">
        <v>2294842</v>
      </c>
      <c r="H412" s="4">
        <v>44749</v>
      </c>
      <c r="I412" s="1" t="s">
        <v>11</v>
      </c>
      <c r="J412" s="1">
        <v>600</v>
      </c>
    </row>
    <row r="413" spans="1:10" x14ac:dyDescent="0.2">
      <c r="A413" s="1">
        <v>719</v>
      </c>
      <c r="B413" s="1" t="s">
        <v>106</v>
      </c>
      <c r="C413" s="1" t="s">
        <v>107</v>
      </c>
      <c r="E413" s="1" t="s">
        <v>107</v>
      </c>
      <c r="F413" s="1">
        <v>2294842</v>
      </c>
      <c r="H413" s="4">
        <v>44749</v>
      </c>
      <c r="I413" s="1" t="s">
        <v>1</v>
      </c>
      <c r="J413" s="1">
        <v>500</v>
      </c>
    </row>
    <row r="414" spans="1:10" x14ac:dyDescent="0.2">
      <c r="A414" s="1">
        <v>718</v>
      </c>
      <c r="C414" s="1" t="s">
        <v>278</v>
      </c>
      <c r="F414" s="1">
        <v>2293863</v>
      </c>
      <c r="H414" s="4">
        <v>44748</v>
      </c>
      <c r="I414" s="1" t="s">
        <v>5</v>
      </c>
      <c r="J414" s="1">
        <v>600</v>
      </c>
    </row>
    <row r="415" spans="1:10" x14ac:dyDescent="0.2">
      <c r="A415" s="1">
        <v>717</v>
      </c>
      <c r="B415" s="1" t="s">
        <v>106</v>
      </c>
      <c r="C415" s="1" t="s">
        <v>107</v>
      </c>
      <c r="E415" s="1" t="s">
        <v>107</v>
      </c>
      <c r="F415" s="1">
        <v>2294842</v>
      </c>
      <c r="H415" s="4">
        <v>44748</v>
      </c>
      <c r="I415" s="1" t="s">
        <v>1</v>
      </c>
      <c r="J415" s="1">
        <v>500</v>
      </c>
    </row>
    <row r="416" spans="1:10" x14ac:dyDescent="0.2">
      <c r="A416" s="1">
        <v>717</v>
      </c>
      <c r="B416" s="1" t="s">
        <v>106</v>
      </c>
      <c r="C416" s="1" t="s">
        <v>107</v>
      </c>
      <c r="E416" s="1" t="s">
        <v>107</v>
      </c>
      <c r="F416" s="1">
        <v>2294842</v>
      </c>
      <c r="H416" s="4">
        <v>44748</v>
      </c>
      <c r="I416" s="1" t="s">
        <v>11</v>
      </c>
      <c r="J416" s="1">
        <v>1250</v>
      </c>
    </row>
    <row r="417" spans="1:10" x14ac:dyDescent="0.2">
      <c r="A417" s="1">
        <v>716</v>
      </c>
      <c r="B417" s="1" t="s">
        <v>279</v>
      </c>
      <c r="C417" s="1" t="s">
        <v>280</v>
      </c>
      <c r="F417" s="1">
        <v>2294834</v>
      </c>
      <c r="H417" s="4">
        <v>44747</v>
      </c>
      <c r="I417" s="1" t="s">
        <v>62</v>
      </c>
      <c r="J417" s="1">
        <v>300</v>
      </c>
    </row>
    <row r="418" spans="1:10" x14ac:dyDescent="0.2">
      <c r="A418" s="1">
        <v>714</v>
      </c>
      <c r="B418" s="1" t="s">
        <v>281</v>
      </c>
      <c r="C418" s="1" t="s">
        <v>282</v>
      </c>
      <c r="E418" s="1" t="s">
        <v>282</v>
      </c>
      <c r="F418" s="1">
        <v>2294849</v>
      </c>
      <c r="H418" s="4">
        <v>44747</v>
      </c>
      <c r="I418" s="1" t="s">
        <v>1</v>
      </c>
      <c r="J418" s="1">
        <v>500</v>
      </c>
    </row>
    <row r="419" spans="1:10" x14ac:dyDescent="0.2">
      <c r="A419" s="1">
        <v>714</v>
      </c>
      <c r="B419" s="1" t="s">
        <v>281</v>
      </c>
      <c r="C419" s="1" t="s">
        <v>282</v>
      </c>
      <c r="E419" s="1" t="s">
        <v>282</v>
      </c>
      <c r="F419" s="1">
        <v>2294849</v>
      </c>
      <c r="H419" s="4">
        <v>44747</v>
      </c>
      <c r="I419" s="1" t="s">
        <v>7</v>
      </c>
      <c r="J419" s="1">
        <v>50</v>
      </c>
    </row>
    <row r="420" spans="1:10" x14ac:dyDescent="0.2">
      <c r="A420" s="1">
        <v>712</v>
      </c>
      <c r="B420" s="1" t="s">
        <v>106</v>
      </c>
      <c r="C420" s="1" t="s">
        <v>107</v>
      </c>
      <c r="E420" s="1" t="s">
        <v>107</v>
      </c>
      <c r="F420" s="1">
        <v>2294842</v>
      </c>
      <c r="H420" s="4">
        <v>44742</v>
      </c>
      <c r="I420" s="1" t="s">
        <v>1</v>
      </c>
      <c r="J420" s="1">
        <v>300</v>
      </c>
    </row>
    <row r="421" spans="1:10" x14ac:dyDescent="0.2">
      <c r="A421" s="1">
        <v>712</v>
      </c>
      <c r="B421" s="1" t="s">
        <v>106</v>
      </c>
      <c r="C421" s="1" t="s">
        <v>107</v>
      </c>
      <c r="E421" s="1" t="s">
        <v>107</v>
      </c>
      <c r="F421" s="1">
        <v>2294842</v>
      </c>
      <c r="H421" s="4">
        <v>44742</v>
      </c>
      <c r="I421" s="1" t="s">
        <v>12</v>
      </c>
      <c r="J421" s="1">
        <v>200</v>
      </c>
    </row>
    <row r="422" spans="1:10" x14ac:dyDescent="0.2">
      <c r="A422" s="1">
        <v>710</v>
      </c>
      <c r="B422" s="1" t="s">
        <v>283</v>
      </c>
      <c r="C422" s="1" t="s">
        <v>284</v>
      </c>
      <c r="E422" s="1" t="s">
        <v>284</v>
      </c>
      <c r="F422" s="1">
        <v>2293736</v>
      </c>
      <c r="H422" s="4">
        <v>44742</v>
      </c>
      <c r="I422" s="1" t="s">
        <v>45</v>
      </c>
      <c r="J422" s="1">
        <v>300</v>
      </c>
    </row>
    <row r="423" spans="1:10" x14ac:dyDescent="0.2">
      <c r="A423" s="1">
        <v>710</v>
      </c>
      <c r="B423" s="1" t="s">
        <v>283</v>
      </c>
      <c r="C423" s="1" t="s">
        <v>284</v>
      </c>
      <c r="E423" s="1" t="s">
        <v>284</v>
      </c>
      <c r="F423" s="1">
        <v>2293736</v>
      </c>
      <c r="H423" s="4">
        <v>44742</v>
      </c>
      <c r="I423" s="1" t="s">
        <v>43</v>
      </c>
      <c r="J423" s="1">
        <v>0.75</v>
      </c>
    </row>
    <row r="424" spans="1:10" x14ac:dyDescent="0.2">
      <c r="A424" s="1">
        <v>710</v>
      </c>
      <c r="B424" s="1" t="s">
        <v>283</v>
      </c>
      <c r="C424" s="1" t="s">
        <v>284</v>
      </c>
      <c r="E424" s="1" t="s">
        <v>284</v>
      </c>
      <c r="F424" s="1">
        <v>2293736</v>
      </c>
      <c r="H424" s="4">
        <v>44742</v>
      </c>
      <c r="I424" s="1" t="s">
        <v>19</v>
      </c>
      <c r="J424" s="1">
        <v>50</v>
      </c>
    </row>
    <row r="425" spans="1:10" x14ac:dyDescent="0.2">
      <c r="A425" s="1">
        <v>710</v>
      </c>
      <c r="B425" s="1" t="s">
        <v>283</v>
      </c>
      <c r="C425" s="1" t="s">
        <v>284</v>
      </c>
      <c r="E425" s="1" t="s">
        <v>284</v>
      </c>
      <c r="F425" s="1">
        <v>2293736</v>
      </c>
      <c r="H425" s="4">
        <v>44742</v>
      </c>
      <c r="I425" s="1" t="s">
        <v>44</v>
      </c>
      <c r="J425" s="1">
        <v>200</v>
      </c>
    </row>
    <row r="426" spans="1:10" x14ac:dyDescent="0.2">
      <c r="A426" s="1">
        <v>706</v>
      </c>
      <c r="C426" s="1" t="s">
        <v>165</v>
      </c>
      <c r="F426" s="1">
        <v>2293758</v>
      </c>
      <c r="H426" s="4">
        <v>44741</v>
      </c>
      <c r="I426" s="1" t="s">
        <v>1</v>
      </c>
      <c r="J426" s="1">
        <v>50</v>
      </c>
    </row>
    <row r="427" spans="1:10" x14ac:dyDescent="0.2">
      <c r="A427" s="1">
        <v>704</v>
      </c>
      <c r="C427" s="1" t="s">
        <v>278</v>
      </c>
      <c r="F427" s="1">
        <v>2293863</v>
      </c>
      <c r="H427" s="4">
        <v>44740</v>
      </c>
      <c r="I427" s="1" t="s">
        <v>5</v>
      </c>
      <c r="J427" s="1">
        <v>210.83</v>
      </c>
    </row>
    <row r="428" spans="1:10" x14ac:dyDescent="0.2">
      <c r="A428" s="1">
        <v>704</v>
      </c>
      <c r="C428" s="1" t="s">
        <v>278</v>
      </c>
      <c r="F428" s="1">
        <v>2293863</v>
      </c>
      <c r="H428" s="4">
        <v>44740</v>
      </c>
      <c r="I428" s="1" t="s">
        <v>6</v>
      </c>
      <c r="J428" s="1">
        <v>300</v>
      </c>
    </row>
    <row r="429" spans="1:10" x14ac:dyDescent="0.2">
      <c r="A429" s="1">
        <v>702</v>
      </c>
      <c r="B429" s="1" t="s">
        <v>153</v>
      </c>
      <c r="C429" s="1" t="s">
        <v>154</v>
      </c>
      <c r="E429" s="1" t="s">
        <v>154</v>
      </c>
      <c r="F429" s="1">
        <v>2294485</v>
      </c>
      <c r="H429" s="4">
        <v>44740</v>
      </c>
      <c r="I429" s="1" t="s">
        <v>4</v>
      </c>
      <c r="J429" s="1">
        <v>1000</v>
      </c>
    </row>
    <row r="430" spans="1:10" x14ac:dyDescent="0.2">
      <c r="A430" s="1">
        <v>699</v>
      </c>
      <c r="B430" s="1" t="s">
        <v>285</v>
      </c>
      <c r="C430" s="1" t="s">
        <v>286</v>
      </c>
      <c r="E430" s="1" t="s">
        <v>286</v>
      </c>
      <c r="F430" s="1">
        <v>2294501</v>
      </c>
      <c r="H430" s="4">
        <v>44739</v>
      </c>
      <c r="I430" s="1" t="s">
        <v>5</v>
      </c>
      <c r="J430" s="1">
        <v>1250</v>
      </c>
    </row>
    <row r="431" spans="1:10" x14ac:dyDescent="0.2">
      <c r="A431" s="1">
        <v>698</v>
      </c>
      <c r="B431" s="1" t="s">
        <v>285</v>
      </c>
      <c r="C431" s="1" t="s">
        <v>286</v>
      </c>
      <c r="E431" s="1" t="s">
        <v>286</v>
      </c>
      <c r="F431" s="1">
        <v>2294501</v>
      </c>
      <c r="H431" s="4">
        <v>44739</v>
      </c>
      <c r="I431" s="1" t="s">
        <v>7</v>
      </c>
      <c r="J431" s="1">
        <v>150</v>
      </c>
    </row>
    <row r="432" spans="1:10" x14ac:dyDescent="0.2">
      <c r="A432" s="1">
        <v>698</v>
      </c>
      <c r="B432" s="1" t="s">
        <v>285</v>
      </c>
      <c r="C432" s="1" t="s">
        <v>286</v>
      </c>
      <c r="E432" s="1" t="s">
        <v>286</v>
      </c>
      <c r="F432" s="1">
        <v>2294501</v>
      </c>
      <c r="H432" s="4">
        <v>44739</v>
      </c>
      <c r="I432" s="1" t="s">
        <v>1</v>
      </c>
      <c r="J432" s="1">
        <v>1250</v>
      </c>
    </row>
    <row r="433" spans="1:10" x14ac:dyDescent="0.2">
      <c r="A433" s="1">
        <v>696</v>
      </c>
      <c r="B433" s="1" t="s">
        <v>287</v>
      </c>
      <c r="C433" s="1" t="s">
        <v>200</v>
      </c>
      <c r="D433" s="1">
        <v>5555555555</v>
      </c>
      <c r="E433" s="1" t="s">
        <v>200</v>
      </c>
      <c r="F433" s="1">
        <v>2295137</v>
      </c>
      <c r="H433" s="4">
        <v>44734</v>
      </c>
      <c r="I433" s="1" t="s">
        <v>6</v>
      </c>
      <c r="J433" s="1">
        <v>200</v>
      </c>
    </row>
    <row r="434" spans="1:10" x14ac:dyDescent="0.2">
      <c r="A434" s="1">
        <v>695</v>
      </c>
      <c r="B434" s="1" t="s">
        <v>106</v>
      </c>
      <c r="C434" s="1" t="s">
        <v>107</v>
      </c>
      <c r="E434" s="1" t="s">
        <v>107</v>
      </c>
      <c r="F434" s="1">
        <v>2294842</v>
      </c>
      <c r="H434" s="4">
        <v>44734</v>
      </c>
      <c r="I434" s="1" t="s">
        <v>11</v>
      </c>
      <c r="J434" s="1">
        <v>300</v>
      </c>
    </row>
    <row r="435" spans="1:10" x14ac:dyDescent="0.2">
      <c r="A435" s="1">
        <v>695</v>
      </c>
      <c r="B435" s="1" t="s">
        <v>106</v>
      </c>
      <c r="C435" s="1" t="s">
        <v>107</v>
      </c>
      <c r="E435" s="1" t="s">
        <v>107</v>
      </c>
      <c r="F435" s="1">
        <v>2294842</v>
      </c>
      <c r="H435" s="4">
        <v>44734</v>
      </c>
      <c r="I435" s="1" t="s">
        <v>1</v>
      </c>
      <c r="J435" s="1">
        <v>1000</v>
      </c>
    </row>
    <row r="436" spans="1:10" x14ac:dyDescent="0.2">
      <c r="A436" s="1">
        <v>694</v>
      </c>
      <c r="B436" s="1" t="s">
        <v>140</v>
      </c>
      <c r="C436" s="1" t="s">
        <v>141</v>
      </c>
      <c r="F436" s="1">
        <v>2295202</v>
      </c>
      <c r="H436" s="4">
        <v>44644</v>
      </c>
      <c r="I436" s="1" t="s">
        <v>29</v>
      </c>
      <c r="J436" s="1">
        <v>500</v>
      </c>
    </row>
    <row r="437" spans="1:10" x14ac:dyDescent="0.2">
      <c r="A437" s="1">
        <v>693</v>
      </c>
      <c r="B437" s="1" t="s">
        <v>106</v>
      </c>
      <c r="C437" s="1" t="s">
        <v>107</v>
      </c>
      <c r="F437" s="1">
        <v>2294842</v>
      </c>
      <c r="H437" s="4">
        <v>44729</v>
      </c>
      <c r="I437" s="1" t="s">
        <v>11</v>
      </c>
      <c r="J437" s="1">
        <v>300</v>
      </c>
    </row>
    <row r="438" spans="1:10" x14ac:dyDescent="0.2">
      <c r="A438" s="1">
        <v>693</v>
      </c>
      <c r="B438" s="1" t="s">
        <v>106</v>
      </c>
      <c r="C438" s="1" t="s">
        <v>107</v>
      </c>
      <c r="F438" s="1">
        <v>2294842</v>
      </c>
      <c r="H438" s="4">
        <v>44729</v>
      </c>
      <c r="I438" s="1" t="s">
        <v>1</v>
      </c>
      <c r="J438" s="1">
        <v>500</v>
      </c>
    </row>
    <row r="439" spans="1:10" x14ac:dyDescent="0.2">
      <c r="A439" s="1">
        <v>692</v>
      </c>
      <c r="B439" s="1" t="s">
        <v>288</v>
      </c>
      <c r="C439" s="1" t="s">
        <v>289</v>
      </c>
      <c r="E439" s="1" t="s">
        <v>289</v>
      </c>
      <c r="F439" s="1">
        <v>2295096</v>
      </c>
      <c r="H439" s="4">
        <v>44729</v>
      </c>
      <c r="I439" s="1" t="s">
        <v>4</v>
      </c>
      <c r="J439" s="1">
        <v>300</v>
      </c>
    </row>
    <row r="440" spans="1:10" x14ac:dyDescent="0.2">
      <c r="A440" s="1">
        <v>690</v>
      </c>
      <c r="B440" s="1" t="s">
        <v>261</v>
      </c>
      <c r="C440" s="1" t="s">
        <v>172</v>
      </c>
      <c r="E440" s="1" t="s">
        <v>172</v>
      </c>
      <c r="F440" s="1">
        <v>2294497</v>
      </c>
      <c r="H440" s="4">
        <v>44728</v>
      </c>
      <c r="I440" s="1" t="s">
        <v>48</v>
      </c>
      <c r="J440" s="1">
        <v>500</v>
      </c>
    </row>
    <row r="441" spans="1:10" x14ac:dyDescent="0.2">
      <c r="A441" s="1">
        <v>689</v>
      </c>
      <c r="B441" s="1" t="s">
        <v>290</v>
      </c>
      <c r="C441" s="1" t="s">
        <v>291</v>
      </c>
      <c r="E441" s="1" t="s">
        <v>291</v>
      </c>
      <c r="F441" s="1">
        <v>2294003</v>
      </c>
      <c r="H441" s="4">
        <v>44728</v>
      </c>
      <c r="I441" s="1" t="s">
        <v>4</v>
      </c>
      <c r="J441" s="1">
        <v>150</v>
      </c>
    </row>
    <row r="442" spans="1:10" x14ac:dyDescent="0.2">
      <c r="A442" s="1">
        <v>687</v>
      </c>
      <c r="B442" s="1" t="s">
        <v>290</v>
      </c>
      <c r="C442" s="1" t="s">
        <v>291</v>
      </c>
      <c r="E442" s="1" t="s">
        <v>291</v>
      </c>
      <c r="F442" s="1">
        <v>2294003</v>
      </c>
      <c r="H442" s="4">
        <v>44728</v>
      </c>
      <c r="I442" s="1" t="s">
        <v>1</v>
      </c>
      <c r="J442" s="1">
        <v>50</v>
      </c>
    </row>
    <row r="443" spans="1:10" x14ac:dyDescent="0.2">
      <c r="A443" s="1">
        <v>687</v>
      </c>
      <c r="B443" s="1" t="s">
        <v>290</v>
      </c>
      <c r="C443" s="1" t="s">
        <v>291</v>
      </c>
      <c r="E443" s="1" t="s">
        <v>291</v>
      </c>
      <c r="F443" s="1">
        <v>2294003</v>
      </c>
      <c r="H443" s="4">
        <v>44728</v>
      </c>
      <c r="I443" s="1" t="s">
        <v>7</v>
      </c>
      <c r="J443" s="1">
        <v>150</v>
      </c>
    </row>
    <row r="444" spans="1:10" x14ac:dyDescent="0.2">
      <c r="A444" s="1">
        <v>685</v>
      </c>
      <c r="B444" s="1" t="s">
        <v>106</v>
      </c>
      <c r="C444" s="1" t="s">
        <v>107</v>
      </c>
      <c r="F444" s="1">
        <v>2294842</v>
      </c>
      <c r="H444" s="4">
        <v>44728</v>
      </c>
      <c r="I444" s="1" t="s">
        <v>1</v>
      </c>
      <c r="J444" s="1">
        <v>200</v>
      </c>
    </row>
    <row r="445" spans="1:10" x14ac:dyDescent="0.2">
      <c r="A445" s="1">
        <v>685</v>
      </c>
      <c r="B445" s="1" t="s">
        <v>106</v>
      </c>
      <c r="C445" s="1" t="s">
        <v>107</v>
      </c>
      <c r="F445" s="1">
        <v>2294842</v>
      </c>
      <c r="H445" s="4">
        <v>44728</v>
      </c>
      <c r="I445" s="1" t="s">
        <v>11</v>
      </c>
      <c r="J445" s="1">
        <v>300</v>
      </c>
    </row>
    <row r="446" spans="1:10" x14ac:dyDescent="0.2">
      <c r="A446" s="1">
        <v>684</v>
      </c>
      <c r="B446" s="1" t="s">
        <v>292</v>
      </c>
      <c r="C446" s="1" t="s">
        <v>293</v>
      </c>
      <c r="E446" s="1" t="s">
        <v>293</v>
      </c>
      <c r="F446" s="1">
        <v>2293844</v>
      </c>
      <c r="H446" s="4">
        <v>44727</v>
      </c>
      <c r="I446" s="1" t="s">
        <v>7</v>
      </c>
      <c r="J446" s="1">
        <v>500</v>
      </c>
    </row>
    <row r="447" spans="1:10" x14ac:dyDescent="0.2">
      <c r="A447" s="1">
        <v>684</v>
      </c>
      <c r="B447" s="1" t="s">
        <v>292</v>
      </c>
      <c r="C447" s="1" t="s">
        <v>293</v>
      </c>
      <c r="E447" s="1" t="s">
        <v>293</v>
      </c>
      <c r="F447" s="1">
        <v>2293844</v>
      </c>
      <c r="H447" s="4">
        <v>44727</v>
      </c>
      <c r="I447" s="1" t="s">
        <v>12</v>
      </c>
      <c r="J447" s="1">
        <v>300</v>
      </c>
    </row>
    <row r="448" spans="1:10" x14ac:dyDescent="0.2">
      <c r="A448" s="1">
        <v>684</v>
      </c>
      <c r="B448" s="1" t="s">
        <v>292</v>
      </c>
      <c r="C448" s="1" t="s">
        <v>293</v>
      </c>
      <c r="E448" s="1" t="s">
        <v>293</v>
      </c>
      <c r="F448" s="1">
        <v>2293844</v>
      </c>
      <c r="H448" s="4">
        <v>44727</v>
      </c>
      <c r="I448" s="1" t="s">
        <v>1</v>
      </c>
      <c r="J448" s="1">
        <v>300</v>
      </c>
    </row>
    <row r="449" spans="1:10" x14ac:dyDescent="0.2">
      <c r="A449" s="1">
        <v>683</v>
      </c>
      <c r="B449" s="1" t="s">
        <v>142</v>
      </c>
      <c r="C449" s="1" t="s">
        <v>143</v>
      </c>
      <c r="E449" s="1" t="s">
        <v>143</v>
      </c>
      <c r="F449" s="1">
        <v>2293735</v>
      </c>
      <c r="H449" s="4">
        <v>44725</v>
      </c>
      <c r="I449" s="1" t="s">
        <v>4</v>
      </c>
      <c r="J449" s="1">
        <v>0.75</v>
      </c>
    </row>
    <row r="450" spans="1:10" x14ac:dyDescent="0.2">
      <c r="A450" s="1">
        <v>680</v>
      </c>
      <c r="B450" s="1" t="s">
        <v>142</v>
      </c>
      <c r="C450" s="1" t="s">
        <v>143</v>
      </c>
      <c r="E450" s="1" t="s">
        <v>143</v>
      </c>
      <c r="F450" s="1">
        <v>2293735</v>
      </c>
      <c r="H450" s="4">
        <v>44725</v>
      </c>
      <c r="I450" s="1" t="s">
        <v>7</v>
      </c>
      <c r="J450" s="1">
        <v>200</v>
      </c>
    </row>
    <row r="451" spans="1:10" x14ac:dyDescent="0.2">
      <c r="A451" s="1">
        <v>680</v>
      </c>
      <c r="B451" s="1" t="s">
        <v>142</v>
      </c>
      <c r="C451" s="1" t="s">
        <v>143</v>
      </c>
      <c r="E451" s="1" t="s">
        <v>143</v>
      </c>
      <c r="F451" s="1">
        <v>2293735</v>
      </c>
      <c r="H451" s="4">
        <v>44725</v>
      </c>
      <c r="I451" s="1" t="s">
        <v>1</v>
      </c>
      <c r="J451" s="1">
        <v>150</v>
      </c>
    </row>
    <row r="452" spans="1:10" x14ac:dyDescent="0.2">
      <c r="A452" s="1">
        <v>677</v>
      </c>
      <c r="B452" s="1" t="s">
        <v>106</v>
      </c>
      <c r="C452" s="1" t="s">
        <v>107</v>
      </c>
      <c r="E452" s="1" t="s">
        <v>107</v>
      </c>
      <c r="F452" s="1">
        <v>2294842</v>
      </c>
      <c r="H452" s="4">
        <v>44720</v>
      </c>
      <c r="I452" s="1" t="s">
        <v>41</v>
      </c>
      <c r="J452" s="1">
        <v>200</v>
      </c>
    </row>
    <row r="453" spans="1:10" x14ac:dyDescent="0.2">
      <c r="A453" s="1">
        <v>676</v>
      </c>
      <c r="B453" s="1" t="s">
        <v>287</v>
      </c>
      <c r="C453" s="1" t="s">
        <v>200</v>
      </c>
      <c r="D453" s="1">
        <v>5555555555</v>
      </c>
      <c r="E453" s="1" t="s">
        <v>294</v>
      </c>
      <c r="F453" s="1">
        <v>2295137</v>
      </c>
      <c r="H453" s="4">
        <v>44720</v>
      </c>
      <c r="I453" s="1" t="s">
        <v>30</v>
      </c>
      <c r="J453" s="1">
        <v>300</v>
      </c>
    </row>
    <row r="454" spans="1:10" x14ac:dyDescent="0.2">
      <c r="A454" s="1">
        <v>674</v>
      </c>
      <c r="B454" s="1" t="s">
        <v>276</v>
      </c>
      <c r="C454" s="1" t="s">
        <v>277</v>
      </c>
      <c r="E454" s="1" t="s">
        <v>277</v>
      </c>
      <c r="F454" s="1">
        <v>2293848</v>
      </c>
      <c r="H454" s="4">
        <v>44719</v>
      </c>
      <c r="I454" s="1" t="s">
        <v>5</v>
      </c>
      <c r="J454" s="1">
        <v>100</v>
      </c>
    </row>
    <row r="455" spans="1:10" x14ac:dyDescent="0.2">
      <c r="A455" s="1">
        <v>672</v>
      </c>
      <c r="B455" s="1" t="s">
        <v>153</v>
      </c>
      <c r="C455" s="1" t="s">
        <v>154</v>
      </c>
      <c r="E455" s="1" t="s">
        <v>154</v>
      </c>
      <c r="F455" s="1">
        <v>2294485</v>
      </c>
      <c r="H455" s="4">
        <v>44718</v>
      </c>
      <c r="I455" s="1" t="s">
        <v>4</v>
      </c>
      <c r="J455" s="1">
        <v>100</v>
      </c>
    </row>
    <row r="456" spans="1:10" x14ac:dyDescent="0.2">
      <c r="A456" s="1">
        <v>670</v>
      </c>
      <c r="B456" s="1" t="s">
        <v>153</v>
      </c>
      <c r="C456" s="1" t="s">
        <v>154</v>
      </c>
      <c r="E456" s="1" t="s">
        <v>154</v>
      </c>
      <c r="F456" s="1">
        <v>2294485</v>
      </c>
      <c r="H456" s="4">
        <v>44718</v>
      </c>
      <c r="I456" s="1" t="s">
        <v>1</v>
      </c>
      <c r="J456" s="1">
        <v>1250</v>
      </c>
    </row>
    <row r="457" spans="1:10" x14ac:dyDescent="0.2">
      <c r="A457" s="1">
        <v>668</v>
      </c>
      <c r="B457" s="1" t="s">
        <v>106</v>
      </c>
      <c r="C457" s="1" t="s">
        <v>107</v>
      </c>
      <c r="E457" s="1" t="s">
        <v>107</v>
      </c>
      <c r="F457" s="1">
        <v>2294842</v>
      </c>
      <c r="H457" s="4">
        <v>44718</v>
      </c>
      <c r="I457" s="1" t="s">
        <v>12</v>
      </c>
      <c r="J457" s="1">
        <v>150</v>
      </c>
    </row>
    <row r="458" spans="1:10" x14ac:dyDescent="0.2">
      <c r="A458" s="1">
        <v>668</v>
      </c>
      <c r="B458" s="1" t="s">
        <v>106</v>
      </c>
      <c r="C458" s="1" t="s">
        <v>107</v>
      </c>
      <c r="E458" s="1" t="s">
        <v>107</v>
      </c>
      <c r="F458" s="1">
        <v>2294842</v>
      </c>
      <c r="H458" s="4">
        <v>44718</v>
      </c>
      <c r="I458" s="1" t="s">
        <v>1</v>
      </c>
      <c r="J458" s="1">
        <v>300</v>
      </c>
    </row>
    <row r="459" spans="1:10" x14ac:dyDescent="0.2">
      <c r="A459" s="1">
        <v>667</v>
      </c>
      <c r="B459" s="1" t="s">
        <v>130</v>
      </c>
      <c r="C459" s="1" t="s">
        <v>131</v>
      </c>
      <c r="E459" s="1" t="s">
        <v>131</v>
      </c>
      <c r="F459" s="1">
        <v>2294769</v>
      </c>
      <c r="H459" s="4">
        <v>44715</v>
      </c>
      <c r="I459" s="1" t="s">
        <v>25</v>
      </c>
      <c r="J459" s="1">
        <v>0.75</v>
      </c>
    </row>
    <row r="460" spans="1:10" x14ac:dyDescent="0.2">
      <c r="A460" s="1">
        <v>665</v>
      </c>
      <c r="B460" s="1" t="s">
        <v>106</v>
      </c>
      <c r="C460" s="1" t="s">
        <v>107</v>
      </c>
      <c r="E460" s="1" t="s">
        <v>107</v>
      </c>
      <c r="F460" s="1">
        <v>2294842</v>
      </c>
      <c r="H460" s="4">
        <v>44713</v>
      </c>
      <c r="I460" s="1" t="s">
        <v>11</v>
      </c>
      <c r="J460" s="1">
        <v>600</v>
      </c>
    </row>
    <row r="461" spans="1:10" x14ac:dyDescent="0.2">
      <c r="A461" s="1">
        <v>665</v>
      </c>
      <c r="B461" s="1" t="s">
        <v>106</v>
      </c>
      <c r="C461" s="1" t="s">
        <v>107</v>
      </c>
      <c r="E461" s="1" t="s">
        <v>107</v>
      </c>
      <c r="F461" s="1">
        <v>2294842</v>
      </c>
      <c r="H461" s="4">
        <v>44713</v>
      </c>
      <c r="I461" s="1" t="s">
        <v>19</v>
      </c>
      <c r="J461" s="1">
        <v>50</v>
      </c>
    </row>
    <row r="462" spans="1:10" x14ac:dyDescent="0.2">
      <c r="A462" s="1">
        <v>664</v>
      </c>
      <c r="B462" s="1" t="s">
        <v>295</v>
      </c>
      <c r="C462" s="1" t="s">
        <v>296</v>
      </c>
      <c r="E462" s="1" t="s">
        <v>296</v>
      </c>
      <c r="F462" s="1">
        <v>2295287</v>
      </c>
      <c r="H462" s="4">
        <v>44713</v>
      </c>
      <c r="I462" s="1" t="s">
        <v>6</v>
      </c>
      <c r="J462" s="1">
        <v>500</v>
      </c>
    </row>
    <row r="463" spans="1:10" x14ac:dyDescent="0.2">
      <c r="A463" s="1">
        <v>662</v>
      </c>
      <c r="B463" s="1" t="s">
        <v>295</v>
      </c>
      <c r="C463" s="1" t="s">
        <v>296</v>
      </c>
      <c r="E463" s="1" t="s">
        <v>296</v>
      </c>
      <c r="F463" s="1">
        <v>2295287</v>
      </c>
      <c r="H463" s="4">
        <v>44713</v>
      </c>
      <c r="I463" s="1" t="s">
        <v>1</v>
      </c>
      <c r="J463" s="1">
        <v>400</v>
      </c>
    </row>
    <row r="464" spans="1:10" x14ac:dyDescent="0.2">
      <c r="A464" s="1">
        <v>662</v>
      </c>
      <c r="B464" s="1" t="s">
        <v>295</v>
      </c>
      <c r="C464" s="1" t="s">
        <v>296</v>
      </c>
      <c r="E464" s="1" t="s">
        <v>296</v>
      </c>
      <c r="F464" s="1">
        <v>2295287</v>
      </c>
      <c r="H464" s="4">
        <v>44713</v>
      </c>
      <c r="I464" s="1" t="s">
        <v>12</v>
      </c>
      <c r="J464" s="1">
        <v>1000</v>
      </c>
    </row>
    <row r="465" spans="1:10" x14ac:dyDescent="0.2">
      <c r="A465" s="1">
        <v>660</v>
      </c>
      <c r="B465" s="1" t="s">
        <v>130</v>
      </c>
      <c r="C465" s="1" t="s">
        <v>131</v>
      </c>
      <c r="E465" s="1" t="s">
        <v>131</v>
      </c>
      <c r="F465" s="1">
        <v>2294769</v>
      </c>
      <c r="H465" s="4">
        <v>44712</v>
      </c>
      <c r="I465" s="1" t="s">
        <v>19</v>
      </c>
      <c r="J465" s="1">
        <v>300</v>
      </c>
    </row>
    <row r="466" spans="1:10" x14ac:dyDescent="0.2">
      <c r="A466" s="1">
        <v>660</v>
      </c>
      <c r="B466" s="1" t="s">
        <v>130</v>
      </c>
      <c r="C466" s="1" t="s">
        <v>131</v>
      </c>
      <c r="E466" s="1" t="s">
        <v>131</v>
      </c>
      <c r="F466" s="1">
        <v>2294769</v>
      </c>
      <c r="H466" s="4">
        <v>44712</v>
      </c>
      <c r="I466" s="1" t="s">
        <v>4</v>
      </c>
      <c r="J466" s="1">
        <v>0.75</v>
      </c>
    </row>
    <row r="467" spans="1:10" x14ac:dyDescent="0.2">
      <c r="A467" s="1">
        <v>659</v>
      </c>
      <c r="B467" s="1" t="s">
        <v>297</v>
      </c>
      <c r="C467" s="1" t="s">
        <v>298</v>
      </c>
      <c r="E467" s="1" t="s">
        <v>294</v>
      </c>
      <c r="F467" s="1">
        <v>2293919</v>
      </c>
      <c r="H467" s="4">
        <v>44712</v>
      </c>
      <c r="I467" s="1" t="s">
        <v>25</v>
      </c>
      <c r="J467" s="1">
        <v>200</v>
      </c>
    </row>
    <row r="468" spans="1:10" x14ac:dyDescent="0.2">
      <c r="A468" s="1">
        <v>657</v>
      </c>
      <c r="B468" s="1" t="s">
        <v>299</v>
      </c>
      <c r="C468" s="1" t="s">
        <v>300</v>
      </c>
      <c r="E468" s="1" t="s">
        <v>300</v>
      </c>
      <c r="F468" s="1">
        <v>2294521</v>
      </c>
      <c r="H468" s="4">
        <v>44707</v>
      </c>
      <c r="I468" s="1" t="s">
        <v>30</v>
      </c>
      <c r="J468" s="1">
        <v>150</v>
      </c>
    </row>
    <row r="469" spans="1:10" x14ac:dyDescent="0.2">
      <c r="A469" s="1">
        <v>654</v>
      </c>
      <c r="B469" s="1" t="s">
        <v>269</v>
      </c>
      <c r="C469" s="1" t="s">
        <v>270</v>
      </c>
      <c r="E469" s="1" t="s">
        <v>270</v>
      </c>
      <c r="F469" s="1">
        <v>2294791</v>
      </c>
      <c r="H469" s="4">
        <v>44705</v>
      </c>
      <c r="I469" s="1" t="s">
        <v>11</v>
      </c>
      <c r="J469" s="1">
        <v>50</v>
      </c>
    </row>
    <row r="470" spans="1:10" x14ac:dyDescent="0.2">
      <c r="A470" s="1">
        <v>654</v>
      </c>
      <c r="B470" s="1" t="s">
        <v>269</v>
      </c>
      <c r="C470" s="1" t="s">
        <v>270</v>
      </c>
      <c r="E470" s="1" t="s">
        <v>270</v>
      </c>
      <c r="F470" s="1">
        <v>2294791</v>
      </c>
      <c r="H470" s="4">
        <v>44705</v>
      </c>
      <c r="I470" s="1" t="s">
        <v>1</v>
      </c>
      <c r="J470" s="1">
        <v>100</v>
      </c>
    </row>
    <row r="471" spans="1:10" x14ac:dyDescent="0.2">
      <c r="A471" s="1">
        <v>654</v>
      </c>
      <c r="B471" s="1" t="s">
        <v>269</v>
      </c>
      <c r="C471" s="1" t="s">
        <v>270</v>
      </c>
      <c r="E471" s="1" t="s">
        <v>270</v>
      </c>
      <c r="F471" s="1">
        <v>2294791</v>
      </c>
      <c r="H471" s="4">
        <v>44705</v>
      </c>
      <c r="I471" s="1" t="s">
        <v>7</v>
      </c>
      <c r="J471" s="1">
        <v>300</v>
      </c>
    </row>
    <row r="472" spans="1:10" x14ac:dyDescent="0.2">
      <c r="A472" s="1">
        <v>652</v>
      </c>
      <c r="B472" s="1" t="s">
        <v>142</v>
      </c>
      <c r="C472" s="1" t="s">
        <v>143</v>
      </c>
      <c r="F472" s="1">
        <v>2293735</v>
      </c>
      <c r="H472" s="4">
        <v>44705</v>
      </c>
      <c r="I472" s="1" t="s">
        <v>1</v>
      </c>
      <c r="J472" s="1">
        <v>500</v>
      </c>
    </row>
    <row r="473" spans="1:10" x14ac:dyDescent="0.2">
      <c r="A473" s="1">
        <v>652</v>
      </c>
      <c r="B473" s="1" t="s">
        <v>142</v>
      </c>
      <c r="C473" s="1" t="s">
        <v>143</v>
      </c>
      <c r="F473" s="1">
        <v>2293735</v>
      </c>
      <c r="H473" s="4">
        <v>44705</v>
      </c>
      <c r="I473" s="1" t="s">
        <v>7</v>
      </c>
      <c r="J473" s="1">
        <v>200</v>
      </c>
    </row>
    <row r="474" spans="1:10" x14ac:dyDescent="0.2">
      <c r="A474" s="1">
        <v>651</v>
      </c>
      <c r="B474" s="1" t="s">
        <v>301</v>
      </c>
      <c r="C474" s="1" t="s">
        <v>302</v>
      </c>
      <c r="E474" s="1" t="s">
        <v>302</v>
      </c>
      <c r="F474" s="1">
        <v>2294766</v>
      </c>
      <c r="H474" s="4">
        <v>44704</v>
      </c>
      <c r="I474" s="1" t="s">
        <v>11</v>
      </c>
      <c r="J474" s="1">
        <v>200</v>
      </c>
    </row>
    <row r="475" spans="1:10" x14ac:dyDescent="0.2">
      <c r="A475" s="1">
        <v>649</v>
      </c>
      <c r="B475" s="1" t="s">
        <v>303</v>
      </c>
      <c r="C475" s="1" t="s">
        <v>304</v>
      </c>
      <c r="E475" s="1" t="s">
        <v>304</v>
      </c>
      <c r="F475" s="1">
        <v>2295284</v>
      </c>
      <c r="H475" s="4">
        <v>44704</v>
      </c>
      <c r="I475" s="1" t="s">
        <v>1</v>
      </c>
      <c r="J475" s="1">
        <v>300</v>
      </c>
    </row>
    <row r="476" spans="1:10" x14ac:dyDescent="0.2">
      <c r="A476" s="1">
        <v>648</v>
      </c>
      <c r="B476" s="1" t="s">
        <v>106</v>
      </c>
      <c r="C476" s="1" t="s">
        <v>107</v>
      </c>
      <c r="E476" s="1" t="s">
        <v>107</v>
      </c>
      <c r="F476" s="1">
        <v>2294842</v>
      </c>
      <c r="H476" s="4">
        <v>44701</v>
      </c>
      <c r="I476" s="1" t="s">
        <v>7</v>
      </c>
      <c r="J476" s="1">
        <v>500</v>
      </c>
    </row>
    <row r="477" spans="1:10" x14ac:dyDescent="0.2">
      <c r="A477" s="1">
        <v>648</v>
      </c>
      <c r="B477" s="1" t="s">
        <v>106</v>
      </c>
      <c r="C477" s="1" t="s">
        <v>107</v>
      </c>
      <c r="E477" s="1" t="s">
        <v>107</v>
      </c>
      <c r="F477" s="1">
        <v>2294842</v>
      </c>
      <c r="H477" s="4">
        <v>44701</v>
      </c>
      <c r="I477" s="1" t="s">
        <v>12</v>
      </c>
      <c r="J477" s="1">
        <v>300</v>
      </c>
    </row>
    <row r="478" spans="1:10" x14ac:dyDescent="0.2">
      <c r="A478" s="1">
        <v>648</v>
      </c>
      <c r="B478" s="1" t="s">
        <v>106</v>
      </c>
      <c r="C478" s="1" t="s">
        <v>107</v>
      </c>
      <c r="E478" s="1" t="s">
        <v>107</v>
      </c>
      <c r="F478" s="1">
        <v>2294842</v>
      </c>
      <c r="H478" s="4">
        <v>44701</v>
      </c>
      <c r="I478" s="1" t="s">
        <v>1</v>
      </c>
      <c r="J478" s="1">
        <v>400</v>
      </c>
    </row>
    <row r="479" spans="1:10" x14ac:dyDescent="0.2">
      <c r="A479" s="1">
        <v>648</v>
      </c>
      <c r="B479" s="1" t="s">
        <v>106</v>
      </c>
      <c r="C479" s="1" t="s">
        <v>107</v>
      </c>
      <c r="E479" s="1" t="s">
        <v>107</v>
      </c>
      <c r="F479" s="1">
        <v>2294842</v>
      </c>
      <c r="H479" s="4">
        <v>44701</v>
      </c>
      <c r="I479" s="1" t="s">
        <v>19</v>
      </c>
      <c r="J479" s="1">
        <v>0.75</v>
      </c>
    </row>
    <row r="480" spans="1:10" x14ac:dyDescent="0.2">
      <c r="A480" s="1">
        <v>647</v>
      </c>
      <c r="B480" s="1" t="s">
        <v>305</v>
      </c>
      <c r="C480" s="1" t="s">
        <v>306</v>
      </c>
      <c r="E480" s="1" t="s">
        <v>306</v>
      </c>
      <c r="F480" s="1">
        <v>2295282</v>
      </c>
      <c r="H480" s="4">
        <v>44700</v>
      </c>
      <c r="I480" s="1" t="s">
        <v>4</v>
      </c>
      <c r="J480" s="1">
        <v>300</v>
      </c>
    </row>
    <row r="481" spans="1:10" x14ac:dyDescent="0.2">
      <c r="A481" s="1">
        <v>645</v>
      </c>
      <c r="C481" s="1" t="s">
        <v>307</v>
      </c>
      <c r="F481" s="1">
        <v>2295077</v>
      </c>
      <c r="H481" s="4">
        <v>44700</v>
      </c>
      <c r="I481" s="1" t="s">
        <v>7</v>
      </c>
      <c r="J481" s="1">
        <v>200</v>
      </c>
    </row>
    <row r="482" spans="1:10" x14ac:dyDescent="0.2">
      <c r="A482" s="1">
        <v>645</v>
      </c>
      <c r="C482" s="1" t="s">
        <v>307</v>
      </c>
      <c r="F482" s="1">
        <v>2295077</v>
      </c>
      <c r="H482" s="4">
        <v>44700</v>
      </c>
      <c r="I482" s="1" t="s">
        <v>1</v>
      </c>
      <c r="J482" s="1">
        <v>150</v>
      </c>
    </row>
    <row r="483" spans="1:10" x14ac:dyDescent="0.2">
      <c r="A483" s="1">
        <v>641</v>
      </c>
      <c r="B483" s="1" t="s">
        <v>308</v>
      </c>
      <c r="C483" s="1" t="s">
        <v>309</v>
      </c>
      <c r="D483" s="1" t="s">
        <v>310</v>
      </c>
      <c r="F483" s="1">
        <v>2295276</v>
      </c>
      <c r="H483" s="4">
        <v>44692</v>
      </c>
      <c r="I483" s="1" t="s">
        <v>1</v>
      </c>
      <c r="J483" s="1">
        <v>300</v>
      </c>
    </row>
    <row r="484" spans="1:10" x14ac:dyDescent="0.2">
      <c r="A484" s="1">
        <v>639</v>
      </c>
      <c r="B484" s="1" t="s">
        <v>308</v>
      </c>
      <c r="C484" s="1" t="s">
        <v>309</v>
      </c>
      <c r="D484" s="1" t="s">
        <v>310</v>
      </c>
      <c r="F484" s="1">
        <v>2295276</v>
      </c>
      <c r="H484" s="4">
        <v>44692</v>
      </c>
      <c r="I484" s="1" t="s">
        <v>1</v>
      </c>
      <c r="J484" s="1">
        <v>200</v>
      </c>
    </row>
    <row r="485" spans="1:10" x14ac:dyDescent="0.2">
      <c r="A485" s="1">
        <v>637</v>
      </c>
      <c r="B485" s="1" t="s">
        <v>106</v>
      </c>
      <c r="C485" s="1" t="s">
        <v>107</v>
      </c>
      <c r="E485" s="1" t="s">
        <v>107</v>
      </c>
      <c r="F485" s="1">
        <v>2294842</v>
      </c>
      <c r="H485" s="4">
        <v>44692</v>
      </c>
      <c r="I485" s="1" t="s">
        <v>1</v>
      </c>
      <c r="J485" s="1">
        <v>300</v>
      </c>
    </row>
    <row r="486" spans="1:10" x14ac:dyDescent="0.2">
      <c r="A486" s="1">
        <v>637</v>
      </c>
      <c r="B486" s="1" t="s">
        <v>106</v>
      </c>
      <c r="C486" s="1" t="s">
        <v>107</v>
      </c>
      <c r="E486" s="1" t="s">
        <v>107</v>
      </c>
      <c r="F486" s="1">
        <v>2294842</v>
      </c>
      <c r="H486" s="4">
        <v>44692</v>
      </c>
      <c r="I486" s="1" t="s">
        <v>11</v>
      </c>
      <c r="J486" s="1">
        <v>300</v>
      </c>
    </row>
    <row r="487" spans="1:10" x14ac:dyDescent="0.2">
      <c r="A487" s="1">
        <v>637</v>
      </c>
      <c r="B487" s="1" t="s">
        <v>106</v>
      </c>
      <c r="C487" s="1" t="s">
        <v>107</v>
      </c>
      <c r="E487" s="1" t="s">
        <v>107</v>
      </c>
      <c r="F487" s="1">
        <v>2294842</v>
      </c>
      <c r="H487" s="4">
        <v>44692</v>
      </c>
      <c r="I487" s="1" t="s">
        <v>19</v>
      </c>
      <c r="J487" s="1">
        <v>200</v>
      </c>
    </row>
    <row r="488" spans="1:10" x14ac:dyDescent="0.2">
      <c r="A488" s="1">
        <v>636</v>
      </c>
      <c r="B488" s="1" t="s">
        <v>311</v>
      </c>
      <c r="C488" s="1" t="s">
        <v>312</v>
      </c>
      <c r="E488" s="1" t="s">
        <v>312</v>
      </c>
      <c r="F488" s="1">
        <v>2294498</v>
      </c>
      <c r="H488" s="4">
        <v>44692</v>
      </c>
      <c r="I488" s="1" t="s">
        <v>12</v>
      </c>
      <c r="J488" s="1">
        <v>600</v>
      </c>
    </row>
    <row r="489" spans="1:10" x14ac:dyDescent="0.2">
      <c r="A489" s="1">
        <v>636</v>
      </c>
      <c r="B489" s="1" t="s">
        <v>311</v>
      </c>
      <c r="C489" s="1" t="s">
        <v>312</v>
      </c>
      <c r="E489" s="1" t="s">
        <v>312</v>
      </c>
      <c r="F489" s="1">
        <v>2294498</v>
      </c>
      <c r="H489" s="4">
        <v>44692</v>
      </c>
      <c r="I489" s="1" t="s">
        <v>1</v>
      </c>
      <c r="J489" s="1">
        <v>500</v>
      </c>
    </row>
    <row r="490" spans="1:10" x14ac:dyDescent="0.2">
      <c r="A490" s="1">
        <v>636</v>
      </c>
      <c r="B490" s="1" t="s">
        <v>311</v>
      </c>
      <c r="C490" s="1" t="s">
        <v>312</v>
      </c>
      <c r="E490" s="1" t="s">
        <v>312</v>
      </c>
      <c r="F490" s="1">
        <v>2294498</v>
      </c>
      <c r="H490" s="4">
        <v>44692</v>
      </c>
      <c r="I490" s="1" t="s">
        <v>11</v>
      </c>
      <c r="J490" s="1">
        <v>500</v>
      </c>
    </row>
    <row r="491" spans="1:10" x14ac:dyDescent="0.2">
      <c r="A491" s="1">
        <v>634</v>
      </c>
      <c r="B491" s="1" t="s">
        <v>106</v>
      </c>
      <c r="C491" s="1" t="s">
        <v>107</v>
      </c>
      <c r="E491" s="1" t="s">
        <v>107</v>
      </c>
      <c r="F491" s="1">
        <v>2294842</v>
      </c>
      <c r="H491" s="4">
        <v>44692</v>
      </c>
      <c r="I491" s="1" t="s">
        <v>1</v>
      </c>
      <c r="J491" s="1">
        <v>300</v>
      </c>
    </row>
    <row r="492" spans="1:10" x14ac:dyDescent="0.2">
      <c r="A492" s="1">
        <v>634</v>
      </c>
      <c r="B492" s="1" t="s">
        <v>106</v>
      </c>
      <c r="C492" s="1" t="s">
        <v>107</v>
      </c>
      <c r="E492" s="1" t="s">
        <v>107</v>
      </c>
      <c r="F492" s="1">
        <v>2294842</v>
      </c>
      <c r="H492" s="4">
        <v>44692</v>
      </c>
      <c r="I492" s="1" t="s">
        <v>29</v>
      </c>
      <c r="J492" s="1">
        <v>0.75</v>
      </c>
    </row>
    <row r="493" spans="1:10" x14ac:dyDescent="0.2">
      <c r="A493" s="1">
        <v>634</v>
      </c>
      <c r="B493" s="1" t="s">
        <v>106</v>
      </c>
      <c r="C493" s="1" t="s">
        <v>107</v>
      </c>
      <c r="E493" s="1" t="s">
        <v>107</v>
      </c>
      <c r="F493" s="1">
        <v>2294842</v>
      </c>
      <c r="H493" s="4">
        <v>44692</v>
      </c>
      <c r="I493" s="1" t="s">
        <v>19</v>
      </c>
      <c r="J493" s="1">
        <v>200</v>
      </c>
    </row>
    <row r="494" spans="1:10" x14ac:dyDescent="0.2">
      <c r="A494" s="1">
        <v>633</v>
      </c>
      <c r="B494" s="1" t="s">
        <v>285</v>
      </c>
      <c r="C494" s="1" t="s">
        <v>286</v>
      </c>
      <c r="E494" s="1" t="s">
        <v>286</v>
      </c>
      <c r="F494" s="1">
        <v>2294501</v>
      </c>
      <c r="H494" s="4">
        <v>44687</v>
      </c>
      <c r="I494" s="1" t="s">
        <v>11</v>
      </c>
      <c r="J494" s="1">
        <v>1000</v>
      </c>
    </row>
    <row r="495" spans="1:10" x14ac:dyDescent="0.2">
      <c r="A495" s="1">
        <v>633</v>
      </c>
      <c r="B495" s="1" t="s">
        <v>285</v>
      </c>
      <c r="C495" s="1" t="s">
        <v>286</v>
      </c>
      <c r="E495" s="1" t="s">
        <v>286</v>
      </c>
      <c r="F495" s="1">
        <v>2294501</v>
      </c>
      <c r="H495" s="4">
        <v>44687</v>
      </c>
      <c r="I495" s="1" t="s">
        <v>12</v>
      </c>
      <c r="J495" s="1">
        <v>300</v>
      </c>
    </row>
    <row r="496" spans="1:10" x14ac:dyDescent="0.2">
      <c r="A496" s="1">
        <v>633</v>
      </c>
      <c r="B496" s="1" t="s">
        <v>285</v>
      </c>
      <c r="C496" s="1" t="s">
        <v>286</v>
      </c>
      <c r="E496" s="1" t="s">
        <v>286</v>
      </c>
      <c r="F496" s="1">
        <v>2294501</v>
      </c>
      <c r="H496" s="4">
        <v>44687</v>
      </c>
      <c r="I496" s="1" t="s">
        <v>1</v>
      </c>
      <c r="J496" s="1">
        <v>300</v>
      </c>
    </row>
    <row r="497" spans="1:10" x14ac:dyDescent="0.2">
      <c r="A497" s="1">
        <v>631</v>
      </c>
      <c r="B497" s="1" t="s">
        <v>261</v>
      </c>
      <c r="C497" s="1" t="s">
        <v>172</v>
      </c>
      <c r="E497" s="1" t="s">
        <v>172</v>
      </c>
      <c r="F497" s="1">
        <v>2294497</v>
      </c>
      <c r="H497" s="4">
        <v>44684</v>
      </c>
      <c r="I497" s="1" t="s">
        <v>63</v>
      </c>
      <c r="J497" s="1">
        <v>0.75</v>
      </c>
    </row>
    <row r="498" spans="1:10" x14ac:dyDescent="0.2">
      <c r="A498" s="1">
        <v>631</v>
      </c>
      <c r="B498" s="1" t="s">
        <v>261</v>
      </c>
      <c r="C498" s="1" t="s">
        <v>172</v>
      </c>
      <c r="E498" s="1" t="s">
        <v>172</v>
      </c>
      <c r="F498" s="1">
        <v>2294497</v>
      </c>
      <c r="H498" s="4">
        <v>44684</v>
      </c>
      <c r="I498" s="1" t="s">
        <v>21</v>
      </c>
      <c r="J498" s="1">
        <v>500</v>
      </c>
    </row>
    <row r="499" spans="1:10" x14ac:dyDescent="0.2">
      <c r="A499" s="1">
        <v>631</v>
      </c>
      <c r="B499" s="1" t="s">
        <v>261</v>
      </c>
      <c r="C499" s="1" t="s">
        <v>172</v>
      </c>
      <c r="E499" s="1" t="s">
        <v>172</v>
      </c>
      <c r="F499" s="1">
        <v>2294497</v>
      </c>
      <c r="H499" s="4">
        <v>44684</v>
      </c>
      <c r="I499" s="1" t="s">
        <v>22</v>
      </c>
      <c r="J499" s="1">
        <v>65</v>
      </c>
    </row>
    <row r="500" spans="1:10" x14ac:dyDescent="0.2">
      <c r="A500" s="1">
        <v>630</v>
      </c>
      <c r="B500" s="1" t="s">
        <v>119</v>
      </c>
      <c r="C500" s="1" t="s">
        <v>120</v>
      </c>
      <c r="E500" s="1" t="s">
        <v>120</v>
      </c>
      <c r="F500" s="1">
        <v>2294694</v>
      </c>
      <c r="H500" s="4">
        <v>44508</v>
      </c>
      <c r="I500" s="1" t="s">
        <v>11</v>
      </c>
      <c r="J500" s="1">
        <v>2900</v>
      </c>
    </row>
    <row r="501" spans="1:10" x14ac:dyDescent="0.2">
      <c r="A501" s="1">
        <v>627</v>
      </c>
      <c r="B501" s="1" t="s">
        <v>112</v>
      </c>
      <c r="C501" s="1" t="s">
        <v>113</v>
      </c>
      <c r="E501" s="1" t="s">
        <v>113</v>
      </c>
      <c r="F501" s="1">
        <v>2294336</v>
      </c>
      <c r="H501" s="4">
        <v>44680</v>
      </c>
      <c r="I501" s="1" t="s">
        <v>28</v>
      </c>
      <c r="J501" s="1">
        <v>1450</v>
      </c>
    </row>
    <row r="502" spans="1:10" x14ac:dyDescent="0.2">
      <c r="A502" s="1">
        <v>626</v>
      </c>
      <c r="B502" s="1" t="s">
        <v>112</v>
      </c>
      <c r="C502" s="1" t="s">
        <v>113</v>
      </c>
      <c r="E502" s="1" t="s">
        <v>113</v>
      </c>
      <c r="F502" s="1">
        <v>2294336</v>
      </c>
      <c r="H502" s="4">
        <v>44680</v>
      </c>
      <c r="I502" s="1" t="s">
        <v>12</v>
      </c>
      <c r="J502" s="1">
        <v>500</v>
      </c>
    </row>
    <row r="503" spans="1:10" x14ac:dyDescent="0.2">
      <c r="A503" s="1">
        <v>624</v>
      </c>
      <c r="B503" s="1" t="s">
        <v>245</v>
      </c>
      <c r="C503" s="1" t="s">
        <v>246</v>
      </c>
      <c r="E503" s="1" t="s">
        <v>246</v>
      </c>
      <c r="F503" s="1">
        <v>2294392</v>
      </c>
      <c r="H503" s="4">
        <v>44679</v>
      </c>
      <c r="I503" s="1" t="s">
        <v>11</v>
      </c>
      <c r="J503" s="1">
        <v>500</v>
      </c>
    </row>
    <row r="504" spans="1:10" x14ac:dyDescent="0.2">
      <c r="A504" s="1">
        <v>624</v>
      </c>
      <c r="B504" s="1" t="s">
        <v>245</v>
      </c>
      <c r="C504" s="1" t="s">
        <v>246</v>
      </c>
      <c r="E504" s="1" t="s">
        <v>246</v>
      </c>
      <c r="F504" s="1">
        <v>2294392</v>
      </c>
      <c r="H504" s="4">
        <v>44679</v>
      </c>
      <c r="I504" s="1" t="s">
        <v>1</v>
      </c>
      <c r="J504" s="1">
        <v>0.75</v>
      </c>
    </row>
    <row r="505" spans="1:10" x14ac:dyDescent="0.2">
      <c r="A505" s="1">
        <v>623</v>
      </c>
      <c r="B505" s="1" t="s">
        <v>106</v>
      </c>
      <c r="C505" s="1" t="s">
        <v>107</v>
      </c>
      <c r="E505" s="1" t="s">
        <v>107</v>
      </c>
      <c r="F505" s="1">
        <v>2294842</v>
      </c>
      <c r="H505" s="4">
        <v>44678</v>
      </c>
      <c r="I505" s="1" t="s">
        <v>11</v>
      </c>
      <c r="J505" s="1">
        <v>500</v>
      </c>
    </row>
    <row r="506" spans="1:10" x14ac:dyDescent="0.2">
      <c r="A506" s="1">
        <v>623</v>
      </c>
      <c r="B506" s="1" t="s">
        <v>106</v>
      </c>
      <c r="C506" s="1" t="s">
        <v>107</v>
      </c>
      <c r="E506" s="1" t="s">
        <v>107</v>
      </c>
      <c r="F506" s="1">
        <v>2294842</v>
      </c>
      <c r="H506" s="4">
        <v>44678</v>
      </c>
      <c r="I506" s="1" t="s">
        <v>19</v>
      </c>
      <c r="J506" s="1">
        <v>300</v>
      </c>
    </row>
    <row r="507" spans="1:10" x14ac:dyDescent="0.2">
      <c r="A507" s="1">
        <v>623</v>
      </c>
      <c r="B507" s="1" t="s">
        <v>106</v>
      </c>
      <c r="C507" s="1" t="s">
        <v>107</v>
      </c>
      <c r="E507" s="1" t="s">
        <v>107</v>
      </c>
      <c r="F507" s="1">
        <v>2294842</v>
      </c>
      <c r="H507" s="4">
        <v>44678</v>
      </c>
      <c r="I507" s="1" t="s">
        <v>19</v>
      </c>
      <c r="J507" s="1">
        <v>500</v>
      </c>
    </row>
    <row r="508" spans="1:10" x14ac:dyDescent="0.2">
      <c r="A508" s="1">
        <v>622</v>
      </c>
      <c r="B508" s="1" t="s">
        <v>313</v>
      </c>
      <c r="C508" s="1" t="s">
        <v>314</v>
      </c>
      <c r="E508" s="1" t="s">
        <v>314</v>
      </c>
      <c r="F508" s="1">
        <v>2294436</v>
      </c>
      <c r="H508" s="4">
        <v>44501</v>
      </c>
      <c r="I508" s="1" t="s">
        <v>1</v>
      </c>
      <c r="J508" s="1">
        <v>200</v>
      </c>
    </row>
    <row r="509" spans="1:10" x14ac:dyDescent="0.2">
      <c r="A509" s="1">
        <v>621</v>
      </c>
      <c r="B509" s="1" t="s">
        <v>292</v>
      </c>
      <c r="C509" s="1" t="s">
        <v>315</v>
      </c>
      <c r="E509" s="1" t="s">
        <v>315</v>
      </c>
      <c r="F509" s="1">
        <v>2295149</v>
      </c>
      <c r="H509" s="4">
        <v>44677</v>
      </c>
      <c r="I509" s="1" t="s">
        <v>19</v>
      </c>
      <c r="J509" s="1">
        <v>200</v>
      </c>
    </row>
    <row r="510" spans="1:10" x14ac:dyDescent="0.2">
      <c r="A510" s="1">
        <v>621</v>
      </c>
      <c r="B510" s="1" t="s">
        <v>292</v>
      </c>
      <c r="C510" s="1" t="s">
        <v>315</v>
      </c>
      <c r="E510" s="1" t="s">
        <v>315</v>
      </c>
      <c r="F510" s="1">
        <v>2295149</v>
      </c>
      <c r="H510" s="4">
        <v>44677</v>
      </c>
      <c r="I510" s="1" t="s">
        <v>1</v>
      </c>
      <c r="J510" s="1">
        <v>300</v>
      </c>
    </row>
    <row r="511" spans="1:10" x14ac:dyDescent="0.2">
      <c r="A511" s="1">
        <v>620</v>
      </c>
      <c r="C511" s="1" t="s">
        <v>316</v>
      </c>
      <c r="F511" s="1">
        <v>2293861</v>
      </c>
      <c r="H511" s="4">
        <v>44673</v>
      </c>
      <c r="I511" s="1" t="s">
        <v>24</v>
      </c>
      <c r="J511" s="1">
        <v>200</v>
      </c>
    </row>
    <row r="512" spans="1:10" x14ac:dyDescent="0.2">
      <c r="A512" s="1">
        <v>619</v>
      </c>
      <c r="B512" s="1" t="s">
        <v>317</v>
      </c>
      <c r="C512" s="1" t="s">
        <v>109</v>
      </c>
      <c r="F512" s="1">
        <v>2294455</v>
      </c>
      <c r="H512" s="4">
        <v>44312</v>
      </c>
      <c r="I512" s="1" t="s">
        <v>24</v>
      </c>
      <c r="J512" s="1">
        <v>300</v>
      </c>
    </row>
    <row r="513" spans="1:10" x14ac:dyDescent="0.2">
      <c r="A513" s="1">
        <v>618</v>
      </c>
      <c r="B513" s="1" t="s">
        <v>108</v>
      </c>
      <c r="C513" s="1" t="s">
        <v>109</v>
      </c>
      <c r="F513" s="1">
        <v>2294455</v>
      </c>
      <c r="H513" s="4">
        <v>44343</v>
      </c>
      <c r="I513" s="1" t="s">
        <v>24</v>
      </c>
      <c r="J513" s="1">
        <v>10</v>
      </c>
    </row>
    <row r="514" spans="1:10" x14ac:dyDescent="0.2">
      <c r="A514" s="1">
        <v>617</v>
      </c>
      <c r="B514" s="1" t="s">
        <v>318</v>
      </c>
      <c r="C514" s="1" t="s">
        <v>319</v>
      </c>
      <c r="F514" s="1">
        <v>2294599</v>
      </c>
      <c r="H514" s="4">
        <v>44348</v>
      </c>
      <c r="I514" s="1" t="s">
        <v>24</v>
      </c>
      <c r="J514" s="1">
        <v>10</v>
      </c>
    </row>
    <row r="515" spans="1:10" x14ac:dyDescent="0.2">
      <c r="A515" s="1">
        <v>616</v>
      </c>
      <c r="B515" s="1" t="s">
        <v>110</v>
      </c>
      <c r="C515" s="1" t="s">
        <v>111</v>
      </c>
      <c r="F515" s="1">
        <v>2294586</v>
      </c>
      <c r="H515" s="4">
        <v>44354</v>
      </c>
      <c r="I515" s="1" t="s">
        <v>24</v>
      </c>
      <c r="J515" s="1">
        <v>10</v>
      </c>
    </row>
    <row r="516" spans="1:10" x14ac:dyDescent="0.2">
      <c r="A516" s="1">
        <v>615</v>
      </c>
      <c r="B516" s="1" t="s">
        <v>119</v>
      </c>
      <c r="C516" s="1" t="s">
        <v>120</v>
      </c>
      <c r="F516" s="1">
        <v>2294694</v>
      </c>
      <c r="H516" s="4">
        <v>44431</v>
      </c>
      <c r="I516" s="1" t="s">
        <v>24</v>
      </c>
      <c r="J516" s="1">
        <v>10</v>
      </c>
    </row>
    <row r="517" spans="1:10" x14ac:dyDescent="0.2">
      <c r="A517" s="1">
        <v>612</v>
      </c>
      <c r="B517" s="1" t="s">
        <v>112</v>
      </c>
      <c r="C517" s="1" t="s">
        <v>113</v>
      </c>
      <c r="E517" s="1" t="s">
        <v>113</v>
      </c>
      <c r="F517" s="1">
        <v>2294336</v>
      </c>
      <c r="H517" s="4">
        <v>44671</v>
      </c>
      <c r="I517" s="1" t="s">
        <v>5</v>
      </c>
      <c r="J517" s="1">
        <v>10</v>
      </c>
    </row>
    <row r="518" spans="1:10" x14ac:dyDescent="0.2">
      <c r="A518" s="1">
        <v>611</v>
      </c>
      <c r="B518" s="1" t="s">
        <v>112</v>
      </c>
      <c r="C518" s="1" t="s">
        <v>113</v>
      </c>
      <c r="E518" s="1" t="s">
        <v>113</v>
      </c>
      <c r="F518" s="1">
        <v>2294336</v>
      </c>
      <c r="H518" s="4">
        <v>44671</v>
      </c>
      <c r="I518" s="1" t="s">
        <v>1</v>
      </c>
      <c r="J518" s="1">
        <v>10</v>
      </c>
    </row>
    <row r="519" spans="1:10" x14ac:dyDescent="0.2">
      <c r="A519" s="1">
        <v>611</v>
      </c>
      <c r="B519" s="1" t="s">
        <v>112</v>
      </c>
      <c r="C519" s="1" t="s">
        <v>113</v>
      </c>
      <c r="E519" s="1" t="s">
        <v>113</v>
      </c>
      <c r="F519" s="1">
        <v>2294336</v>
      </c>
      <c r="H519" s="4">
        <v>44671</v>
      </c>
      <c r="I519" s="1" t="s">
        <v>35</v>
      </c>
      <c r="J519" s="1">
        <v>1250</v>
      </c>
    </row>
    <row r="520" spans="1:10" x14ac:dyDescent="0.2">
      <c r="A520" s="1">
        <v>610</v>
      </c>
      <c r="B520" s="1" t="s">
        <v>106</v>
      </c>
      <c r="C520" s="1" t="s">
        <v>107</v>
      </c>
      <c r="E520" s="1" t="s">
        <v>107</v>
      </c>
      <c r="F520" s="1">
        <v>2294842</v>
      </c>
      <c r="H520" s="4">
        <v>44670</v>
      </c>
      <c r="I520" s="1" t="s">
        <v>12</v>
      </c>
      <c r="J520" s="1">
        <v>300</v>
      </c>
    </row>
    <row r="521" spans="1:10" x14ac:dyDescent="0.2">
      <c r="A521" s="1">
        <v>610</v>
      </c>
      <c r="B521" s="1" t="s">
        <v>106</v>
      </c>
      <c r="C521" s="1" t="s">
        <v>107</v>
      </c>
      <c r="E521" s="1" t="s">
        <v>107</v>
      </c>
      <c r="F521" s="1">
        <v>2294842</v>
      </c>
      <c r="H521" s="4">
        <v>44670</v>
      </c>
      <c r="I521" s="1" t="s">
        <v>1</v>
      </c>
      <c r="J521" s="1">
        <v>250</v>
      </c>
    </row>
    <row r="522" spans="1:10" x14ac:dyDescent="0.2">
      <c r="A522" s="1">
        <v>610</v>
      </c>
      <c r="B522" s="1" t="s">
        <v>106</v>
      </c>
      <c r="C522" s="1" t="s">
        <v>107</v>
      </c>
      <c r="E522" s="1" t="s">
        <v>107</v>
      </c>
      <c r="F522" s="1">
        <v>2294842</v>
      </c>
      <c r="H522" s="4">
        <v>44670</v>
      </c>
      <c r="I522" s="1" t="s">
        <v>1</v>
      </c>
      <c r="J522" s="1">
        <v>0.75</v>
      </c>
    </row>
    <row r="523" spans="1:10" x14ac:dyDescent="0.2">
      <c r="A523" s="1">
        <v>609</v>
      </c>
      <c r="B523" s="1" t="s">
        <v>320</v>
      </c>
      <c r="C523" s="1" t="s">
        <v>321</v>
      </c>
      <c r="E523" s="1" t="s">
        <v>321</v>
      </c>
      <c r="F523" s="1">
        <v>2294583</v>
      </c>
      <c r="H523" s="4">
        <v>44670</v>
      </c>
      <c r="I523" s="1" t="s">
        <v>4</v>
      </c>
      <c r="J523" s="1">
        <v>300</v>
      </c>
    </row>
    <row r="524" spans="1:10" x14ac:dyDescent="0.2">
      <c r="A524" s="1">
        <v>606</v>
      </c>
      <c r="B524" s="1" t="s">
        <v>112</v>
      </c>
      <c r="C524" s="1" t="s">
        <v>113</v>
      </c>
      <c r="E524" s="1" t="s">
        <v>113</v>
      </c>
      <c r="F524" s="1">
        <v>2294336</v>
      </c>
      <c r="H524" s="4">
        <v>44665</v>
      </c>
      <c r="I524" s="1" t="s">
        <v>25</v>
      </c>
      <c r="J524" s="1">
        <v>300</v>
      </c>
    </row>
    <row r="525" spans="1:10" x14ac:dyDescent="0.2">
      <c r="A525" s="1">
        <v>603</v>
      </c>
      <c r="B525" s="1" t="s">
        <v>106</v>
      </c>
      <c r="C525" s="1" t="s">
        <v>107</v>
      </c>
      <c r="E525" s="1" t="s">
        <v>107</v>
      </c>
      <c r="F525" s="1">
        <v>2294842</v>
      </c>
      <c r="H525" s="4">
        <v>44665</v>
      </c>
      <c r="I525" s="1" t="s">
        <v>1</v>
      </c>
      <c r="J525" s="1">
        <v>150</v>
      </c>
    </row>
    <row r="526" spans="1:10" x14ac:dyDescent="0.2">
      <c r="A526" s="1">
        <v>603</v>
      </c>
      <c r="B526" s="1" t="s">
        <v>106</v>
      </c>
      <c r="C526" s="1" t="s">
        <v>107</v>
      </c>
      <c r="E526" s="1" t="s">
        <v>107</v>
      </c>
      <c r="F526" s="1">
        <v>2294842</v>
      </c>
      <c r="H526" s="4">
        <v>44665</v>
      </c>
      <c r="I526" s="1" t="s">
        <v>1</v>
      </c>
      <c r="J526" s="1">
        <v>50</v>
      </c>
    </row>
    <row r="527" spans="1:10" x14ac:dyDescent="0.2">
      <c r="A527" s="1">
        <v>603</v>
      </c>
      <c r="B527" s="1" t="s">
        <v>106</v>
      </c>
      <c r="C527" s="1" t="s">
        <v>107</v>
      </c>
      <c r="E527" s="1" t="s">
        <v>107</v>
      </c>
      <c r="F527" s="1">
        <v>2294842</v>
      </c>
      <c r="H527" s="4">
        <v>44665</v>
      </c>
      <c r="I527" s="1" t="s">
        <v>7</v>
      </c>
      <c r="J527" s="1">
        <v>200</v>
      </c>
    </row>
    <row r="528" spans="1:10" x14ac:dyDescent="0.2">
      <c r="A528" s="1">
        <v>602</v>
      </c>
      <c r="B528" s="1" t="s">
        <v>285</v>
      </c>
      <c r="C528" s="1" t="s">
        <v>286</v>
      </c>
      <c r="E528" s="1" t="s">
        <v>286</v>
      </c>
      <c r="F528" s="1">
        <v>2294501</v>
      </c>
      <c r="H528" s="4">
        <v>44665</v>
      </c>
      <c r="I528" s="1" t="s">
        <v>36</v>
      </c>
      <c r="J528" s="1">
        <v>300</v>
      </c>
    </row>
    <row r="529" spans="1:10" x14ac:dyDescent="0.2">
      <c r="A529" s="1">
        <v>602</v>
      </c>
      <c r="B529" s="1" t="s">
        <v>285</v>
      </c>
      <c r="C529" s="1" t="s">
        <v>286</v>
      </c>
      <c r="E529" s="1" t="s">
        <v>286</v>
      </c>
      <c r="F529" s="1">
        <v>2294501</v>
      </c>
      <c r="H529" s="4">
        <v>44665</v>
      </c>
      <c r="I529" s="1" t="s">
        <v>25</v>
      </c>
      <c r="J529" s="1">
        <v>300</v>
      </c>
    </row>
    <row r="530" spans="1:10" x14ac:dyDescent="0.2">
      <c r="A530" s="1">
        <v>600</v>
      </c>
      <c r="B530" s="1" t="s">
        <v>106</v>
      </c>
      <c r="C530" s="1" t="s">
        <v>107</v>
      </c>
      <c r="E530" s="1" t="s">
        <v>107</v>
      </c>
      <c r="F530" s="1">
        <v>2294842</v>
      </c>
      <c r="H530" s="4">
        <v>44665</v>
      </c>
      <c r="I530" s="1" t="s">
        <v>12</v>
      </c>
      <c r="J530" s="1">
        <v>30</v>
      </c>
    </row>
    <row r="531" spans="1:10" x14ac:dyDescent="0.2">
      <c r="A531" s="1">
        <v>600</v>
      </c>
      <c r="B531" s="1" t="s">
        <v>106</v>
      </c>
      <c r="C531" s="1" t="s">
        <v>107</v>
      </c>
      <c r="E531" s="1" t="s">
        <v>107</v>
      </c>
      <c r="F531" s="1">
        <v>2294842</v>
      </c>
      <c r="H531" s="4">
        <v>44665</v>
      </c>
      <c r="I531" s="1" t="s">
        <v>11</v>
      </c>
      <c r="J531" s="1">
        <v>50</v>
      </c>
    </row>
    <row r="532" spans="1:10" x14ac:dyDescent="0.2">
      <c r="A532" s="1">
        <v>600</v>
      </c>
      <c r="B532" s="1" t="s">
        <v>106</v>
      </c>
      <c r="C532" s="1" t="s">
        <v>107</v>
      </c>
      <c r="E532" s="1" t="s">
        <v>107</v>
      </c>
      <c r="F532" s="1">
        <v>2294842</v>
      </c>
      <c r="H532" s="4">
        <v>44665</v>
      </c>
      <c r="I532" s="1" t="s">
        <v>19</v>
      </c>
      <c r="J532" s="1">
        <v>0.75</v>
      </c>
    </row>
    <row r="533" spans="1:10" x14ac:dyDescent="0.2">
      <c r="A533" s="1">
        <v>599</v>
      </c>
      <c r="C533" s="1" t="s">
        <v>322</v>
      </c>
      <c r="F533" s="1">
        <v>2293739</v>
      </c>
      <c r="H533" s="4">
        <v>44664</v>
      </c>
      <c r="I533" s="1" t="s">
        <v>18</v>
      </c>
      <c r="J533" s="1">
        <v>200</v>
      </c>
    </row>
    <row r="534" spans="1:10" x14ac:dyDescent="0.2">
      <c r="A534" s="1">
        <v>599</v>
      </c>
      <c r="C534" s="1" t="s">
        <v>322</v>
      </c>
      <c r="F534" s="1">
        <v>2293739</v>
      </c>
      <c r="H534" s="4">
        <v>44664</v>
      </c>
      <c r="I534" s="1" t="s">
        <v>20</v>
      </c>
      <c r="J534" s="1">
        <v>500</v>
      </c>
    </row>
    <row r="535" spans="1:10" x14ac:dyDescent="0.2">
      <c r="A535" s="1">
        <v>596</v>
      </c>
      <c r="B535" s="1" t="s">
        <v>112</v>
      </c>
      <c r="C535" s="1" t="s">
        <v>113</v>
      </c>
      <c r="E535" s="1" t="s">
        <v>113</v>
      </c>
      <c r="F535" s="1">
        <v>2294336</v>
      </c>
      <c r="H535" s="4">
        <v>44664</v>
      </c>
      <c r="I535" s="1" t="s">
        <v>72</v>
      </c>
      <c r="J535" s="1">
        <v>125</v>
      </c>
    </row>
    <row r="536" spans="1:10" x14ac:dyDescent="0.2">
      <c r="A536" s="1">
        <v>595</v>
      </c>
      <c r="B536" s="1" t="s">
        <v>108</v>
      </c>
      <c r="C536" s="1" t="s">
        <v>109</v>
      </c>
      <c r="E536" s="1" t="s">
        <v>109</v>
      </c>
      <c r="F536" s="1">
        <v>2294455</v>
      </c>
      <c r="H536" s="4">
        <v>44664</v>
      </c>
      <c r="I536" s="1" t="s">
        <v>87</v>
      </c>
      <c r="J536" s="1">
        <v>100</v>
      </c>
    </row>
    <row r="537" spans="1:10" x14ac:dyDescent="0.2">
      <c r="A537" s="1">
        <v>592</v>
      </c>
      <c r="C537" s="1" t="s">
        <v>323</v>
      </c>
      <c r="F537" s="1">
        <v>2294750</v>
      </c>
      <c r="H537" s="4">
        <v>44663</v>
      </c>
      <c r="I537" s="1" t="s">
        <v>1</v>
      </c>
      <c r="J537" s="1">
        <v>100</v>
      </c>
    </row>
    <row r="538" spans="1:10" x14ac:dyDescent="0.2">
      <c r="A538" s="1">
        <v>592</v>
      </c>
      <c r="C538" s="1" t="s">
        <v>323</v>
      </c>
      <c r="F538" s="1">
        <v>2294750</v>
      </c>
      <c r="H538" s="4">
        <v>44663</v>
      </c>
      <c r="I538" s="1" t="s">
        <v>7</v>
      </c>
      <c r="J538" s="1">
        <v>10</v>
      </c>
    </row>
    <row r="539" spans="1:10" x14ac:dyDescent="0.2">
      <c r="A539" s="1">
        <v>592</v>
      </c>
      <c r="C539" s="1" t="s">
        <v>323</v>
      </c>
      <c r="F539" s="1">
        <v>2294750</v>
      </c>
      <c r="H539" s="4">
        <v>44663</v>
      </c>
      <c r="I539" s="1" t="s">
        <v>12</v>
      </c>
      <c r="J539" s="1">
        <v>200</v>
      </c>
    </row>
    <row r="540" spans="1:10" x14ac:dyDescent="0.2">
      <c r="A540" s="1">
        <v>591</v>
      </c>
      <c r="C540" s="1" t="s">
        <v>324</v>
      </c>
      <c r="F540" s="1">
        <v>2294578</v>
      </c>
      <c r="H540" s="4">
        <v>44663</v>
      </c>
      <c r="I540" s="1" t="s">
        <v>4</v>
      </c>
      <c r="J540" s="1">
        <v>300</v>
      </c>
    </row>
    <row r="541" spans="1:10" x14ac:dyDescent="0.2">
      <c r="A541" s="1">
        <v>590</v>
      </c>
      <c r="B541" s="1" t="s">
        <v>288</v>
      </c>
      <c r="C541" s="1" t="s">
        <v>289</v>
      </c>
      <c r="E541" s="1" t="s">
        <v>289</v>
      </c>
      <c r="F541" s="1">
        <v>2295096</v>
      </c>
      <c r="H541" s="4">
        <v>44663</v>
      </c>
      <c r="I541" s="1" t="s">
        <v>5</v>
      </c>
      <c r="J541" s="1">
        <v>0.75</v>
      </c>
    </row>
    <row r="542" spans="1:10" x14ac:dyDescent="0.2">
      <c r="A542" s="1">
        <v>590</v>
      </c>
      <c r="B542" s="1" t="s">
        <v>288</v>
      </c>
      <c r="C542" s="1" t="s">
        <v>289</v>
      </c>
      <c r="E542" s="1" t="s">
        <v>289</v>
      </c>
      <c r="F542" s="1">
        <v>2295096</v>
      </c>
      <c r="H542" s="4">
        <v>44663</v>
      </c>
      <c r="I542" s="1" t="s">
        <v>28</v>
      </c>
      <c r="J542" s="1">
        <v>150</v>
      </c>
    </row>
    <row r="543" spans="1:10" x14ac:dyDescent="0.2">
      <c r="A543" s="1">
        <v>590</v>
      </c>
      <c r="B543" s="1" t="s">
        <v>288</v>
      </c>
      <c r="C543" s="1" t="s">
        <v>289</v>
      </c>
      <c r="E543" s="1" t="s">
        <v>289</v>
      </c>
      <c r="F543" s="1">
        <v>2295096</v>
      </c>
      <c r="H543" s="4">
        <v>44663</v>
      </c>
      <c r="I543" s="1" t="s">
        <v>20</v>
      </c>
      <c r="J543" s="1">
        <v>1250</v>
      </c>
    </row>
    <row r="544" spans="1:10" x14ac:dyDescent="0.2">
      <c r="A544" s="1">
        <v>587</v>
      </c>
      <c r="B544" s="1" t="s">
        <v>325</v>
      </c>
      <c r="C544" s="1" t="s">
        <v>221</v>
      </c>
      <c r="E544" s="1" t="s">
        <v>221</v>
      </c>
      <c r="F544" s="1">
        <v>2295158</v>
      </c>
      <c r="H544" s="4">
        <v>44658</v>
      </c>
      <c r="I544" s="1" t="s">
        <v>4</v>
      </c>
      <c r="J544" s="1">
        <v>100</v>
      </c>
    </row>
    <row r="545" spans="1:10" x14ac:dyDescent="0.2">
      <c r="A545" s="1">
        <v>586</v>
      </c>
      <c r="B545" s="1" t="s">
        <v>326</v>
      </c>
      <c r="C545" s="1" t="s">
        <v>327</v>
      </c>
      <c r="E545" s="1" t="s">
        <v>327</v>
      </c>
      <c r="F545" s="1">
        <v>2295209</v>
      </c>
      <c r="H545" s="4">
        <v>44656</v>
      </c>
      <c r="I545" s="1" t="s">
        <v>12</v>
      </c>
      <c r="J545" s="1">
        <v>500</v>
      </c>
    </row>
    <row r="546" spans="1:10" x14ac:dyDescent="0.2">
      <c r="A546" s="1">
        <v>586</v>
      </c>
      <c r="B546" s="1" t="s">
        <v>326</v>
      </c>
      <c r="C546" s="1" t="s">
        <v>327</v>
      </c>
      <c r="E546" s="1" t="s">
        <v>327</v>
      </c>
      <c r="F546" s="1">
        <v>2295209</v>
      </c>
      <c r="H546" s="4">
        <v>44656</v>
      </c>
      <c r="I546" s="1" t="s">
        <v>1</v>
      </c>
      <c r="J546" s="1">
        <v>150</v>
      </c>
    </row>
    <row r="547" spans="1:10" x14ac:dyDescent="0.2">
      <c r="A547" s="1">
        <v>583</v>
      </c>
      <c r="B547" s="1" t="s">
        <v>328</v>
      </c>
      <c r="C547" s="1" t="s">
        <v>329</v>
      </c>
      <c r="E547" s="1" t="s">
        <v>329</v>
      </c>
      <c r="F547" s="1">
        <v>2295214</v>
      </c>
      <c r="H547" s="4">
        <v>44651</v>
      </c>
      <c r="I547" s="1" t="s">
        <v>12</v>
      </c>
      <c r="J547" s="1">
        <v>0.75</v>
      </c>
    </row>
    <row r="548" spans="1:10" x14ac:dyDescent="0.2">
      <c r="A548" s="1">
        <v>583</v>
      </c>
      <c r="B548" s="1" t="s">
        <v>328</v>
      </c>
      <c r="C548" s="1" t="s">
        <v>329</v>
      </c>
      <c r="E548" s="1" t="s">
        <v>329</v>
      </c>
      <c r="F548" s="1">
        <v>2295214</v>
      </c>
      <c r="H548" s="4">
        <v>44651</v>
      </c>
      <c r="I548" s="1" t="s">
        <v>1</v>
      </c>
      <c r="J548" s="1">
        <v>300</v>
      </c>
    </row>
    <row r="549" spans="1:10" x14ac:dyDescent="0.2">
      <c r="A549" s="1">
        <v>582</v>
      </c>
      <c r="B549" s="1" t="s">
        <v>106</v>
      </c>
      <c r="C549" s="1" t="s">
        <v>107</v>
      </c>
      <c r="E549" s="1" t="s">
        <v>107</v>
      </c>
      <c r="F549" s="1">
        <v>2294842</v>
      </c>
      <c r="H549" s="4">
        <v>44651</v>
      </c>
      <c r="I549" s="1" t="s">
        <v>19</v>
      </c>
      <c r="J549" s="1">
        <v>300</v>
      </c>
    </row>
    <row r="550" spans="1:10" x14ac:dyDescent="0.2">
      <c r="A550" s="1">
        <v>581</v>
      </c>
      <c r="B550" s="1" t="s">
        <v>155</v>
      </c>
      <c r="C550" s="1" t="s">
        <v>156</v>
      </c>
      <c r="E550" s="1" t="s">
        <v>156</v>
      </c>
      <c r="F550" s="1">
        <v>2294603</v>
      </c>
      <c r="H550" s="4">
        <v>44644</v>
      </c>
      <c r="I550" s="1" t="s">
        <v>18</v>
      </c>
      <c r="J550" s="1">
        <v>0.75</v>
      </c>
    </row>
    <row r="551" spans="1:10" x14ac:dyDescent="0.2">
      <c r="A551" s="1">
        <v>581</v>
      </c>
      <c r="B551" s="1" t="s">
        <v>155</v>
      </c>
      <c r="C551" s="1" t="s">
        <v>156</v>
      </c>
      <c r="E551" s="1" t="s">
        <v>156</v>
      </c>
      <c r="F551" s="1">
        <v>2294603</v>
      </c>
      <c r="H551" s="4">
        <v>44644</v>
      </c>
      <c r="I551" s="1" t="s">
        <v>66</v>
      </c>
      <c r="J551" s="1">
        <v>200</v>
      </c>
    </row>
    <row r="552" spans="1:10" x14ac:dyDescent="0.2">
      <c r="A552" s="1">
        <v>576</v>
      </c>
      <c r="B552" s="1" t="s">
        <v>130</v>
      </c>
      <c r="C552" s="1" t="s">
        <v>131</v>
      </c>
      <c r="E552" s="1" t="s">
        <v>131</v>
      </c>
      <c r="F552" s="1">
        <v>2294769</v>
      </c>
      <c r="H552" s="4">
        <v>44643</v>
      </c>
      <c r="I552" s="1" t="s">
        <v>1</v>
      </c>
      <c r="J552" s="1">
        <v>125</v>
      </c>
    </row>
    <row r="553" spans="1:10" x14ac:dyDescent="0.2">
      <c r="A553" s="1">
        <v>576</v>
      </c>
      <c r="B553" s="1" t="s">
        <v>130</v>
      </c>
      <c r="C553" s="1" t="s">
        <v>131</v>
      </c>
      <c r="E553" s="1" t="s">
        <v>131</v>
      </c>
      <c r="F553" s="1">
        <v>2294769</v>
      </c>
      <c r="H553" s="4">
        <v>44643</v>
      </c>
      <c r="I553" s="1" t="s">
        <v>19</v>
      </c>
      <c r="J553" s="1">
        <v>75</v>
      </c>
    </row>
    <row r="554" spans="1:10" x14ac:dyDescent="0.2">
      <c r="A554" s="1">
        <v>575</v>
      </c>
      <c r="B554" s="1" t="s">
        <v>230</v>
      </c>
      <c r="C554" s="1" t="s">
        <v>231</v>
      </c>
      <c r="E554" s="1" t="s">
        <v>330</v>
      </c>
      <c r="F554" s="1">
        <v>2294790</v>
      </c>
      <c r="H554" s="4">
        <v>44638</v>
      </c>
      <c r="I554" s="1" t="s">
        <v>1</v>
      </c>
      <c r="J554" s="1">
        <v>200</v>
      </c>
    </row>
    <row r="555" spans="1:10" x14ac:dyDescent="0.2">
      <c r="A555" s="1">
        <v>575</v>
      </c>
      <c r="B555" s="1" t="s">
        <v>230</v>
      </c>
      <c r="C555" s="1" t="s">
        <v>231</v>
      </c>
      <c r="E555" s="1" t="s">
        <v>330</v>
      </c>
      <c r="F555" s="1">
        <v>2294790</v>
      </c>
      <c r="H555" s="4">
        <v>44638</v>
      </c>
      <c r="I555" s="1" t="s">
        <v>11</v>
      </c>
      <c r="J555" s="1">
        <v>300</v>
      </c>
    </row>
    <row r="556" spans="1:10" x14ac:dyDescent="0.2">
      <c r="A556" s="1">
        <v>574</v>
      </c>
      <c r="B556" s="1" t="s">
        <v>106</v>
      </c>
      <c r="C556" s="1" t="s">
        <v>107</v>
      </c>
      <c r="E556" s="1" t="s">
        <v>107</v>
      </c>
      <c r="F556" s="1">
        <v>2294842</v>
      </c>
      <c r="H556" s="4">
        <v>44638</v>
      </c>
      <c r="I556" s="1" t="s">
        <v>1</v>
      </c>
      <c r="J556" s="1">
        <v>300</v>
      </c>
    </row>
    <row r="557" spans="1:10" x14ac:dyDescent="0.2">
      <c r="A557" s="1">
        <v>573</v>
      </c>
      <c r="B557" s="1" t="s">
        <v>106</v>
      </c>
      <c r="C557" s="1" t="s">
        <v>107</v>
      </c>
      <c r="E557" s="1" t="s">
        <v>107</v>
      </c>
      <c r="F557" s="1">
        <v>2294842</v>
      </c>
      <c r="H557" s="4">
        <v>44638</v>
      </c>
      <c r="I557" s="1" t="s">
        <v>1</v>
      </c>
      <c r="J557" s="1">
        <v>500</v>
      </c>
    </row>
    <row r="558" spans="1:10" x14ac:dyDescent="0.2">
      <c r="A558" s="1">
        <v>572</v>
      </c>
      <c r="B558" s="1" t="s">
        <v>106</v>
      </c>
      <c r="C558" s="1" t="s">
        <v>107</v>
      </c>
      <c r="E558" s="1" t="s">
        <v>107</v>
      </c>
      <c r="F558" s="1">
        <v>2294842</v>
      </c>
      <c r="H558" s="4">
        <v>44637</v>
      </c>
      <c r="I558" s="1" t="s">
        <v>19</v>
      </c>
      <c r="J558" s="1">
        <v>300</v>
      </c>
    </row>
    <row r="559" spans="1:10" x14ac:dyDescent="0.2">
      <c r="A559" s="1">
        <v>571</v>
      </c>
      <c r="B559" s="1" t="s">
        <v>325</v>
      </c>
      <c r="C559" s="1" t="s">
        <v>221</v>
      </c>
      <c r="E559" s="1" t="s">
        <v>331</v>
      </c>
      <c r="F559" s="1">
        <v>2295158</v>
      </c>
      <c r="H559" s="4">
        <v>44637</v>
      </c>
      <c r="I559" s="1" t="s">
        <v>4</v>
      </c>
      <c r="J559" s="1">
        <v>300</v>
      </c>
    </row>
    <row r="560" spans="1:10" x14ac:dyDescent="0.2">
      <c r="A560" s="1">
        <v>570</v>
      </c>
      <c r="B560" s="1" t="s">
        <v>325</v>
      </c>
      <c r="C560" s="1" t="s">
        <v>221</v>
      </c>
      <c r="E560" s="1" t="s">
        <v>331</v>
      </c>
      <c r="F560" s="1">
        <v>2295158</v>
      </c>
      <c r="H560" s="4">
        <v>44637</v>
      </c>
      <c r="I560" s="1" t="s">
        <v>4</v>
      </c>
      <c r="J560" s="1">
        <v>200</v>
      </c>
    </row>
    <row r="561" spans="1:10" x14ac:dyDescent="0.2">
      <c r="A561" s="1">
        <v>569</v>
      </c>
      <c r="B561" s="1" t="s">
        <v>325</v>
      </c>
      <c r="C561" s="1" t="s">
        <v>221</v>
      </c>
      <c r="E561" s="1" t="s">
        <v>331</v>
      </c>
      <c r="F561" s="1">
        <v>2295158</v>
      </c>
      <c r="H561" s="4">
        <v>44637</v>
      </c>
      <c r="I561" s="1" t="s">
        <v>4</v>
      </c>
      <c r="J561" s="1">
        <v>150</v>
      </c>
    </row>
    <row r="562" spans="1:10" x14ac:dyDescent="0.2">
      <c r="A562" s="1">
        <v>568</v>
      </c>
      <c r="B562" s="1" t="s">
        <v>112</v>
      </c>
      <c r="C562" s="1" t="s">
        <v>113</v>
      </c>
      <c r="F562" s="1">
        <v>2294336</v>
      </c>
      <c r="H562" s="4">
        <v>44636</v>
      </c>
      <c r="I562" s="1" t="s">
        <v>5</v>
      </c>
      <c r="J562" s="1">
        <v>150</v>
      </c>
    </row>
    <row r="563" spans="1:10" x14ac:dyDescent="0.2">
      <c r="A563" s="1">
        <v>567</v>
      </c>
      <c r="B563" s="1" t="s">
        <v>261</v>
      </c>
      <c r="C563" s="1" t="s">
        <v>172</v>
      </c>
      <c r="E563" s="1" t="s">
        <v>172</v>
      </c>
      <c r="F563" s="1">
        <v>2294497</v>
      </c>
      <c r="H563" s="4">
        <v>44636</v>
      </c>
      <c r="I563" s="1" t="s">
        <v>19</v>
      </c>
      <c r="J563" s="1">
        <v>150</v>
      </c>
    </row>
    <row r="564" spans="1:10" x14ac:dyDescent="0.2">
      <c r="A564" s="1">
        <v>533</v>
      </c>
      <c r="B564" s="1" t="s">
        <v>325</v>
      </c>
      <c r="C564" s="1" t="s">
        <v>221</v>
      </c>
      <c r="E564" s="1" t="s">
        <v>331</v>
      </c>
      <c r="F564" s="1">
        <v>2295158</v>
      </c>
      <c r="H564" s="4">
        <v>44635</v>
      </c>
      <c r="I564" s="1" t="s">
        <v>4</v>
      </c>
      <c r="J564" s="1">
        <v>1250</v>
      </c>
    </row>
    <row r="565" spans="1:10" x14ac:dyDescent="0.2">
      <c r="A565" s="1">
        <v>532</v>
      </c>
      <c r="B565" s="1" t="s">
        <v>325</v>
      </c>
      <c r="C565" s="1" t="s">
        <v>221</v>
      </c>
      <c r="E565" s="1" t="s">
        <v>331</v>
      </c>
      <c r="F565" s="1">
        <v>2295158</v>
      </c>
      <c r="H565" s="4">
        <v>44635</v>
      </c>
      <c r="I565" s="1" t="s">
        <v>4</v>
      </c>
      <c r="J565" s="1">
        <v>400</v>
      </c>
    </row>
    <row r="566" spans="1:10" x14ac:dyDescent="0.2">
      <c r="A566" s="1">
        <v>531</v>
      </c>
      <c r="B566" s="1" t="s">
        <v>325</v>
      </c>
      <c r="C566" s="1" t="s">
        <v>221</v>
      </c>
      <c r="E566" s="1" t="s">
        <v>331</v>
      </c>
      <c r="F566" s="1">
        <v>2295158</v>
      </c>
      <c r="H566" s="4">
        <v>44635</v>
      </c>
      <c r="I566" s="1" t="s">
        <v>4</v>
      </c>
      <c r="J566" s="1">
        <v>150</v>
      </c>
    </row>
    <row r="567" spans="1:10" x14ac:dyDescent="0.2">
      <c r="A567" s="1">
        <v>530</v>
      </c>
      <c r="B567" s="1" t="s">
        <v>332</v>
      </c>
      <c r="C567" s="1" t="s">
        <v>221</v>
      </c>
      <c r="E567" s="1" t="s">
        <v>333</v>
      </c>
      <c r="F567" s="1">
        <v>2295158</v>
      </c>
      <c r="H567" s="4">
        <v>44635</v>
      </c>
      <c r="I567" s="1" t="s">
        <v>4</v>
      </c>
      <c r="J567" s="1">
        <v>150</v>
      </c>
    </row>
    <row r="568" spans="1:10" x14ac:dyDescent="0.2">
      <c r="A568" s="1">
        <v>529</v>
      </c>
      <c r="B568" s="1" t="s">
        <v>332</v>
      </c>
      <c r="C568" s="1" t="s">
        <v>221</v>
      </c>
      <c r="E568" s="1" t="s">
        <v>333</v>
      </c>
      <c r="F568" s="1">
        <v>2295158</v>
      </c>
      <c r="H568" s="4">
        <v>44635</v>
      </c>
      <c r="I568" s="1" t="s">
        <v>4</v>
      </c>
      <c r="J568" s="1">
        <v>150</v>
      </c>
    </row>
    <row r="569" spans="1:10" x14ac:dyDescent="0.2">
      <c r="A569" s="1">
        <v>528</v>
      </c>
      <c r="B569" s="1" t="s">
        <v>332</v>
      </c>
      <c r="C569" s="1" t="s">
        <v>221</v>
      </c>
      <c r="E569" s="1" t="s">
        <v>333</v>
      </c>
      <c r="F569" s="1">
        <v>2295158</v>
      </c>
      <c r="H569" s="4">
        <v>44635</v>
      </c>
      <c r="I569" s="1" t="s">
        <v>4</v>
      </c>
      <c r="J569" s="1">
        <v>150</v>
      </c>
    </row>
    <row r="570" spans="1:10" x14ac:dyDescent="0.2">
      <c r="A570" s="1">
        <v>527</v>
      </c>
      <c r="C570" s="1" t="s">
        <v>221</v>
      </c>
      <c r="F570" s="1">
        <v>2295158</v>
      </c>
      <c r="H570" s="4">
        <v>44635</v>
      </c>
      <c r="I570" s="1" t="s">
        <v>4</v>
      </c>
      <c r="J570" s="1">
        <v>150</v>
      </c>
    </row>
    <row r="571" spans="1:10" x14ac:dyDescent="0.2">
      <c r="A571" s="1">
        <v>526</v>
      </c>
      <c r="C571" s="1" t="s">
        <v>221</v>
      </c>
      <c r="F571" s="1">
        <v>2295158</v>
      </c>
      <c r="H571" s="4">
        <v>44635</v>
      </c>
      <c r="I571" s="1" t="s">
        <v>15</v>
      </c>
      <c r="J571" s="1">
        <v>150</v>
      </c>
    </row>
    <row r="572" spans="1:10" x14ac:dyDescent="0.2">
      <c r="A572" s="1">
        <v>525</v>
      </c>
      <c r="C572" s="1" t="s">
        <v>221</v>
      </c>
      <c r="F572" s="1">
        <v>2295158</v>
      </c>
      <c r="H572" s="4">
        <v>44635</v>
      </c>
      <c r="I572" s="1" t="s">
        <v>16</v>
      </c>
      <c r="J572" s="1">
        <v>150</v>
      </c>
    </row>
    <row r="573" spans="1:10" x14ac:dyDescent="0.2">
      <c r="A573" s="1">
        <v>524</v>
      </c>
      <c r="B573" s="1" t="s">
        <v>265</v>
      </c>
      <c r="C573" s="1" t="s">
        <v>266</v>
      </c>
      <c r="E573" s="1" t="s">
        <v>266</v>
      </c>
      <c r="F573" s="1">
        <v>2294952</v>
      </c>
      <c r="H573" s="4">
        <v>44635</v>
      </c>
      <c r="I573" s="1" t="s">
        <v>66</v>
      </c>
      <c r="J573" s="1">
        <v>100</v>
      </c>
    </row>
    <row r="574" spans="1:10" x14ac:dyDescent="0.2">
      <c r="A574" s="1">
        <v>524</v>
      </c>
      <c r="B574" s="1" t="s">
        <v>265</v>
      </c>
      <c r="C574" s="1" t="s">
        <v>266</v>
      </c>
      <c r="E574" s="1" t="s">
        <v>266</v>
      </c>
      <c r="F574" s="1">
        <v>2294952</v>
      </c>
      <c r="H574" s="4">
        <v>44635</v>
      </c>
      <c r="I574" s="1" t="s">
        <v>18</v>
      </c>
      <c r="J574" s="1">
        <v>100</v>
      </c>
    </row>
    <row r="575" spans="1:10" x14ac:dyDescent="0.2">
      <c r="A575" s="1">
        <v>524</v>
      </c>
      <c r="B575" s="1" t="s">
        <v>265</v>
      </c>
      <c r="C575" s="1" t="s">
        <v>266</v>
      </c>
      <c r="E575" s="1" t="s">
        <v>266</v>
      </c>
      <c r="F575" s="1">
        <v>2294952</v>
      </c>
      <c r="H575" s="4">
        <v>44635</v>
      </c>
      <c r="I575" s="1" t="s">
        <v>5</v>
      </c>
      <c r="J575" s="1">
        <v>125</v>
      </c>
    </row>
    <row r="576" spans="1:10" x14ac:dyDescent="0.2">
      <c r="A576" s="1">
        <v>521</v>
      </c>
      <c r="B576" s="1" t="s">
        <v>276</v>
      </c>
      <c r="C576" s="1" t="s">
        <v>277</v>
      </c>
      <c r="E576" s="1" t="s">
        <v>277</v>
      </c>
      <c r="F576" s="1">
        <v>2293848</v>
      </c>
      <c r="H576" s="4">
        <v>44631</v>
      </c>
      <c r="I576" s="1" t="s">
        <v>12</v>
      </c>
      <c r="J576" s="1">
        <v>1250</v>
      </c>
    </row>
    <row r="577" spans="1:10" x14ac:dyDescent="0.2">
      <c r="A577" s="1">
        <v>521</v>
      </c>
      <c r="B577" s="1" t="s">
        <v>276</v>
      </c>
      <c r="C577" s="1" t="s">
        <v>277</v>
      </c>
      <c r="E577" s="1" t="s">
        <v>277</v>
      </c>
      <c r="F577" s="1">
        <v>2293848</v>
      </c>
      <c r="H577" s="4">
        <v>44631</v>
      </c>
      <c r="I577" s="1" t="s">
        <v>1</v>
      </c>
      <c r="J577" s="1">
        <v>75</v>
      </c>
    </row>
    <row r="578" spans="1:10" x14ac:dyDescent="0.2">
      <c r="A578" s="1">
        <v>518</v>
      </c>
      <c r="B578" s="1" t="s">
        <v>130</v>
      </c>
      <c r="C578" s="1" t="s">
        <v>131</v>
      </c>
      <c r="E578" s="1" t="s">
        <v>131</v>
      </c>
      <c r="F578" s="1">
        <v>2294769</v>
      </c>
      <c r="H578" s="4">
        <v>44631</v>
      </c>
      <c r="I578" s="1" t="s">
        <v>19</v>
      </c>
      <c r="J578" s="1">
        <v>0.75</v>
      </c>
    </row>
    <row r="579" spans="1:10" x14ac:dyDescent="0.2">
      <c r="A579" s="1">
        <v>518</v>
      </c>
      <c r="B579" s="1" t="s">
        <v>130</v>
      </c>
      <c r="C579" s="1" t="s">
        <v>131</v>
      </c>
      <c r="E579" s="1" t="s">
        <v>131</v>
      </c>
      <c r="F579" s="1">
        <v>2294769</v>
      </c>
      <c r="H579" s="4">
        <v>44631</v>
      </c>
      <c r="I579" s="1" t="s">
        <v>4</v>
      </c>
      <c r="J579" s="1">
        <v>300</v>
      </c>
    </row>
    <row r="580" spans="1:10" x14ac:dyDescent="0.2">
      <c r="A580" s="1">
        <v>517</v>
      </c>
      <c r="B580" s="1" t="s">
        <v>245</v>
      </c>
      <c r="C580" s="1" t="s">
        <v>246</v>
      </c>
      <c r="E580" s="1" t="s">
        <v>246</v>
      </c>
      <c r="F580" s="1">
        <v>2294392</v>
      </c>
      <c r="H580" s="4">
        <v>44630</v>
      </c>
      <c r="I580" s="1" t="s">
        <v>1</v>
      </c>
      <c r="J580" s="1">
        <v>150</v>
      </c>
    </row>
    <row r="581" spans="1:10" x14ac:dyDescent="0.2">
      <c r="A581" s="1">
        <v>517</v>
      </c>
      <c r="B581" s="1" t="s">
        <v>245</v>
      </c>
      <c r="C581" s="1" t="s">
        <v>246</v>
      </c>
      <c r="E581" s="1" t="s">
        <v>246</v>
      </c>
      <c r="F581" s="1">
        <v>2294392</v>
      </c>
      <c r="H581" s="4">
        <v>44630</v>
      </c>
      <c r="I581" s="1" t="s">
        <v>11</v>
      </c>
      <c r="J581" s="1">
        <v>200</v>
      </c>
    </row>
    <row r="582" spans="1:10" x14ac:dyDescent="0.2">
      <c r="A582" s="1">
        <v>513</v>
      </c>
      <c r="B582" s="1" t="s">
        <v>106</v>
      </c>
      <c r="C582" s="1" t="s">
        <v>107</v>
      </c>
      <c r="E582" s="1" t="s">
        <v>107</v>
      </c>
      <c r="F582" s="1">
        <v>2294842</v>
      </c>
      <c r="H582" s="4">
        <v>44629</v>
      </c>
      <c r="I582" s="1" t="s">
        <v>41</v>
      </c>
      <c r="J582" s="1">
        <v>300</v>
      </c>
    </row>
    <row r="583" spans="1:10" x14ac:dyDescent="0.2">
      <c r="A583" s="1">
        <v>513</v>
      </c>
      <c r="B583" s="1" t="s">
        <v>106</v>
      </c>
      <c r="C583" s="1" t="s">
        <v>107</v>
      </c>
      <c r="E583" s="1" t="s">
        <v>107</v>
      </c>
      <c r="F583" s="1">
        <v>2294842</v>
      </c>
      <c r="H583" s="4">
        <v>44629</v>
      </c>
      <c r="I583" s="1" t="s">
        <v>19</v>
      </c>
      <c r="J583" s="1">
        <v>500</v>
      </c>
    </row>
    <row r="584" spans="1:10" x14ac:dyDescent="0.2">
      <c r="A584" s="1">
        <v>512</v>
      </c>
      <c r="B584" s="1" t="s">
        <v>112</v>
      </c>
      <c r="C584" s="1" t="s">
        <v>113</v>
      </c>
      <c r="E584" s="1" t="s">
        <v>113</v>
      </c>
      <c r="F584" s="1">
        <v>2294336</v>
      </c>
      <c r="H584" s="4">
        <v>44629</v>
      </c>
      <c r="I584" s="1" t="s">
        <v>1</v>
      </c>
      <c r="J584" s="1">
        <v>200</v>
      </c>
    </row>
    <row r="585" spans="1:10" x14ac:dyDescent="0.2">
      <c r="A585" s="1">
        <v>512</v>
      </c>
      <c r="B585" s="1" t="s">
        <v>112</v>
      </c>
      <c r="C585" s="1" t="s">
        <v>113</v>
      </c>
      <c r="E585" s="1" t="s">
        <v>113</v>
      </c>
      <c r="F585" s="1">
        <v>2294336</v>
      </c>
      <c r="H585" s="4">
        <v>44629</v>
      </c>
      <c r="I585" s="1" t="s">
        <v>41</v>
      </c>
      <c r="J585" s="1">
        <v>100</v>
      </c>
    </row>
    <row r="586" spans="1:10" x14ac:dyDescent="0.2">
      <c r="A586" s="1">
        <v>511</v>
      </c>
      <c r="B586" s="1" t="s">
        <v>106</v>
      </c>
      <c r="C586" s="1" t="s">
        <v>107</v>
      </c>
      <c r="E586" s="1" t="s">
        <v>107</v>
      </c>
      <c r="F586" s="1">
        <v>2294842</v>
      </c>
      <c r="H586" s="4">
        <v>44628</v>
      </c>
      <c r="I586" s="1" t="s">
        <v>1</v>
      </c>
      <c r="J586" s="1">
        <v>300</v>
      </c>
    </row>
    <row r="587" spans="1:10" x14ac:dyDescent="0.2">
      <c r="A587" s="1">
        <v>510</v>
      </c>
      <c r="B587" s="1" t="s">
        <v>106</v>
      </c>
      <c r="C587" s="1" t="s">
        <v>107</v>
      </c>
      <c r="E587" s="1" t="s">
        <v>107</v>
      </c>
      <c r="F587" s="1">
        <v>2294842</v>
      </c>
      <c r="H587" s="4">
        <v>44628</v>
      </c>
      <c r="I587" s="1" t="s">
        <v>1</v>
      </c>
      <c r="J587" s="1">
        <v>100</v>
      </c>
    </row>
    <row r="588" spans="1:10" x14ac:dyDescent="0.2">
      <c r="A588" s="1">
        <v>509</v>
      </c>
      <c r="B588" s="1" t="s">
        <v>334</v>
      </c>
      <c r="C588" s="1" t="s">
        <v>335</v>
      </c>
      <c r="E588" s="1" t="s">
        <v>335</v>
      </c>
      <c r="F588" s="1">
        <v>2294487</v>
      </c>
      <c r="H588" s="4">
        <v>44627</v>
      </c>
      <c r="I588" s="1" t="s">
        <v>4</v>
      </c>
      <c r="J588" s="1">
        <v>300</v>
      </c>
    </row>
    <row r="589" spans="1:10" x14ac:dyDescent="0.2">
      <c r="A589" s="1">
        <v>506</v>
      </c>
      <c r="B589" s="1" t="s">
        <v>334</v>
      </c>
      <c r="C589" s="1" t="s">
        <v>335</v>
      </c>
      <c r="E589" s="1" t="s">
        <v>335</v>
      </c>
      <c r="F589" s="1">
        <v>2294487</v>
      </c>
      <c r="H589" s="4">
        <v>44627</v>
      </c>
      <c r="I589" s="1" t="s">
        <v>1</v>
      </c>
      <c r="J589" s="1">
        <v>300</v>
      </c>
    </row>
    <row r="590" spans="1:10" x14ac:dyDescent="0.2">
      <c r="A590" s="1">
        <v>506</v>
      </c>
      <c r="B590" s="1" t="s">
        <v>334</v>
      </c>
      <c r="C590" s="1" t="s">
        <v>335</v>
      </c>
      <c r="E590" s="1" t="s">
        <v>335</v>
      </c>
      <c r="F590" s="1">
        <v>2294487</v>
      </c>
      <c r="H590" s="4">
        <v>44627</v>
      </c>
      <c r="I590" s="1" t="s">
        <v>7</v>
      </c>
      <c r="J590" s="1">
        <v>150</v>
      </c>
    </row>
    <row r="591" spans="1:10" x14ac:dyDescent="0.2">
      <c r="A591" s="1">
        <v>506</v>
      </c>
      <c r="B591" s="1" t="s">
        <v>334</v>
      </c>
      <c r="C591" s="1" t="s">
        <v>335</v>
      </c>
      <c r="E591" s="1" t="s">
        <v>335</v>
      </c>
      <c r="F591" s="1">
        <v>2294487</v>
      </c>
      <c r="H591" s="4">
        <v>44627</v>
      </c>
      <c r="I591" s="1" t="s">
        <v>12</v>
      </c>
      <c r="J591" s="1">
        <v>200</v>
      </c>
    </row>
    <row r="592" spans="1:10" x14ac:dyDescent="0.2">
      <c r="A592" s="1">
        <v>504</v>
      </c>
      <c r="B592" s="1" t="s">
        <v>130</v>
      </c>
      <c r="C592" s="1" t="s">
        <v>131</v>
      </c>
      <c r="E592" s="1" t="s">
        <v>131</v>
      </c>
      <c r="F592" s="1">
        <v>2294769</v>
      </c>
      <c r="H592" s="4">
        <v>44623</v>
      </c>
      <c r="I592" s="1" t="s">
        <v>19</v>
      </c>
      <c r="J592" s="1">
        <v>0.75</v>
      </c>
    </row>
    <row r="593" spans="1:10" x14ac:dyDescent="0.2">
      <c r="A593" s="1">
        <v>504</v>
      </c>
      <c r="B593" s="1" t="s">
        <v>130</v>
      </c>
      <c r="C593" s="1" t="s">
        <v>131</v>
      </c>
      <c r="E593" s="1" t="s">
        <v>131</v>
      </c>
      <c r="F593" s="1">
        <v>2294769</v>
      </c>
      <c r="H593" s="4">
        <v>44623</v>
      </c>
      <c r="I593" s="1" t="s">
        <v>4</v>
      </c>
      <c r="J593" s="1">
        <v>300</v>
      </c>
    </row>
    <row r="594" spans="1:10" x14ac:dyDescent="0.2">
      <c r="A594" s="1">
        <v>503</v>
      </c>
      <c r="B594" s="1" t="s">
        <v>336</v>
      </c>
      <c r="C594" s="1" t="s">
        <v>337</v>
      </c>
      <c r="E594" s="1" t="s">
        <v>337</v>
      </c>
      <c r="F594" s="1">
        <v>2294534</v>
      </c>
      <c r="H594" s="4">
        <v>44623</v>
      </c>
      <c r="I594" s="1" t="s">
        <v>4</v>
      </c>
      <c r="J594" s="1">
        <v>150</v>
      </c>
    </row>
    <row r="595" spans="1:10" x14ac:dyDescent="0.2">
      <c r="A595" s="1">
        <v>500</v>
      </c>
      <c r="B595" s="1" t="s">
        <v>338</v>
      </c>
      <c r="C595" s="1" t="s">
        <v>280</v>
      </c>
      <c r="E595" s="1" t="s">
        <v>280</v>
      </c>
      <c r="F595" s="1">
        <v>2294834</v>
      </c>
      <c r="H595" s="4">
        <v>44620</v>
      </c>
      <c r="I595" s="1" t="s">
        <v>61</v>
      </c>
      <c r="J595" s="1">
        <v>200</v>
      </c>
    </row>
    <row r="596" spans="1:10" x14ac:dyDescent="0.2">
      <c r="A596" s="1">
        <v>500</v>
      </c>
      <c r="B596" s="1" t="s">
        <v>338</v>
      </c>
      <c r="C596" s="1" t="s">
        <v>280</v>
      </c>
      <c r="E596" s="1" t="s">
        <v>280</v>
      </c>
      <c r="F596" s="1">
        <v>2294834</v>
      </c>
      <c r="H596" s="4">
        <v>44620</v>
      </c>
      <c r="I596" s="1" t="s">
        <v>59</v>
      </c>
      <c r="J596" s="1">
        <v>150</v>
      </c>
    </row>
    <row r="597" spans="1:10" x14ac:dyDescent="0.2">
      <c r="A597" s="1">
        <v>499</v>
      </c>
      <c r="B597" s="1" t="s">
        <v>106</v>
      </c>
      <c r="C597" s="1" t="s">
        <v>107</v>
      </c>
      <c r="E597" s="1" t="s">
        <v>107</v>
      </c>
      <c r="F597" s="1">
        <v>2294842</v>
      </c>
      <c r="H597" s="4">
        <v>44622</v>
      </c>
      <c r="I597" s="1" t="s">
        <v>1</v>
      </c>
      <c r="J597" s="1">
        <v>25</v>
      </c>
    </row>
    <row r="598" spans="1:10" x14ac:dyDescent="0.2">
      <c r="A598" s="1">
        <v>493</v>
      </c>
      <c r="B598" s="1" t="s">
        <v>339</v>
      </c>
      <c r="C598" s="1" t="s">
        <v>340</v>
      </c>
      <c r="E598" s="1" t="s">
        <v>340</v>
      </c>
      <c r="F598" s="1">
        <v>2295095</v>
      </c>
      <c r="H598" s="4">
        <v>44616</v>
      </c>
      <c r="I598" s="1" t="s">
        <v>4</v>
      </c>
      <c r="J598" s="1">
        <v>25</v>
      </c>
    </row>
    <row r="599" spans="1:10" x14ac:dyDescent="0.2">
      <c r="A599" s="1">
        <v>490</v>
      </c>
      <c r="B599" s="1" t="s">
        <v>339</v>
      </c>
      <c r="C599" s="1" t="s">
        <v>340</v>
      </c>
      <c r="E599" s="1" t="s">
        <v>340</v>
      </c>
      <c r="F599" s="1">
        <v>2295095</v>
      </c>
      <c r="H599" s="4">
        <v>44616</v>
      </c>
      <c r="I599" s="1" t="s">
        <v>41</v>
      </c>
      <c r="J599" s="1">
        <v>300</v>
      </c>
    </row>
    <row r="600" spans="1:10" x14ac:dyDescent="0.2">
      <c r="A600" s="1">
        <v>455</v>
      </c>
      <c r="B600" s="1" t="s">
        <v>130</v>
      </c>
      <c r="C600" s="1" t="s">
        <v>131</v>
      </c>
      <c r="E600" s="1" t="s">
        <v>131</v>
      </c>
      <c r="F600" s="1">
        <v>2294769</v>
      </c>
      <c r="H600" s="4">
        <v>44609</v>
      </c>
      <c r="I600" s="1" t="s">
        <v>4</v>
      </c>
      <c r="J600" s="1">
        <v>150</v>
      </c>
    </row>
    <row r="601" spans="1:10" x14ac:dyDescent="0.2">
      <c r="A601" s="1">
        <v>454</v>
      </c>
      <c r="B601" s="1" t="s">
        <v>106</v>
      </c>
      <c r="C601" s="1" t="s">
        <v>107</v>
      </c>
      <c r="E601" s="1" t="s">
        <v>107</v>
      </c>
      <c r="F601" s="1">
        <v>2294842</v>
      </c>
      <c r="H601" s="4">
        <v>44609</v>
      </c>
      <c r="I601" s="1" t="s">
        <v>19</v>
      </c>
      <c r="J601" s="1">
        <v>100</v>
      </c>
    </row>
    <row r="602" spans="1:10" x14ac:dyDescent="0.2">
      <c r="A602" s="1">
        <v>454</v>
      </c>
      <c r="B602" s="1" t="s">
        <v>106</v>
      </c>
      <c r="C602" s="1" t="s">
        <v>107</v>
      </c>
      <c r="E602" s="1" t="s">
        <v>107</v>
      </c>
      <c r="F602" s="1">
        <v>2294842</v>
      </c>
      <c r="H602" s="4">
        <v>44609</v>
      </c>
      <c r="I602" s="1" t="s">
        <v>41</v>
      </c>
      <c r="J602" s="1">
        <v>150</v>
      </c>
    </row>
    <row r="603" spans="1:10" x14ac:dyDescent="0.2">
      <c r="A603" s="1">
        <v>453</v>
      </c>
      <c r="B603" s="1" t="s">
        <v>341</v>
      </c>
      <c r="C603" s="1" t="s">
        <v>342</v>
      </c>
      <c r="E603" s="1" t="s">
        <v>342</v>
      </c>
      <c r="F603" s="1">
        <v>2295084</v>
      </c>
      <c r="H603" s="4">
        <v>44609</v>
      </c>
      <c r="I603" s="1" t="s">
        <v>1</v>
      </c>
      <c r="J603" s="1">
        <v>100</v>
      </c>
    </row>
    <row r="604" spans="1:10" x14ac:dyDescent="0.2">
      <c r="A604" s="1">
        <v>451</v>
      </c>
      <c r="B604" s="1" t="s">
        <v>130</v>
      </c>
      <c r="C604" s="1" t="s">
        <v>131</v>
      </c>
      <c r="E604" s="1" t="s">
        <v>131</v>
      </c>
      <c r="F604" s="1">
        <v>2294769</v>
      </c>
      <c r="H604" s="4">
        <v>44608</v>
      </c>
      <c r="I604" s="1" t="s">
        <v>19</v>
      </c>
      <c r="J604" s="1">
        <v>200</v>
      </c>
    </row>
    <row r="605" spans="1:10" x14ac:dyDescent="0.2">
      <c r="A605" s="1">
        <v>451</v>
      </c>
      <c r="B605" s="1" t="s">
        <v>130</v>
      </c>
      <c r="C605" s="1" t="s">
        <v>131</v>
      </c>
      <c r="E605" s="1" t="s">
        <v>131</v>
      </c>
      <c r="F605" s="1">
        <v>2294769</v>
      </c>
      <c r="H605" s="4">
        <v>44608</v>
      </c>
      <c r="I605" s="1" t="s">
        <v>4</v>
      </c>
      <c r="J605" s="1">
        <v>300</v>
      </c>
    </row>
    <row r="606" spans="1:10" x14ac:dyDescent="0.2">
      <c r="A606" s="1">
        <v>450</v>
      </c>
      <c r="B606" s="1" t="s">
        <v>338</v>
      </c>
      <c r="C606" s="1" t="s">
        <v>280</v>
      </c>
      <c r="E606" s="1" t="s">
        <v>280</v>
      </c>
      <c r="F606" s="1">
        <v>2294834</v>
      </c>
      <c r="H606" s="4">
        <v>44608</v>
      </c>
      <c r="I606" s="1" t="s">
        <v>60</v>
      </c>
      <c r="J606" s="1">
        <v>200</v>
      </c>
    </row>
    <row r="607" spans="1:10" x14ac:dyDescent="0.2">
      <c r="A607" s="1">
        <v>449</v>
      </c>
      <c r="B607" s="1" t="s">
        <v>343</v>
      </c>
      <c r="C607" s="1" t="s">
        <v>344</v>
      </c>
      <c r="E607" s="1" t="s">
        <v>344</v>
      </c>
      <c r="F607" s="1">
        <v>2293759</v>
      </c>
      <c r="H607" s="4">
        <v>44608</v>
      </c>
      <c r="I607" s="1" t="s">
        <v>1</v>
      </c>
      <c r="J607" s="1">
        <v>150</v>
      </c>
    </row>
    <row r="608" spans="1:10" x14ac:dyDescent="0.2">
      <c r="A608" s="1">
        <v>447</v>
      </c>
      <c r="B608" s="1" t="s">
        <v>345</v>
      </c>
      <c r="C608" s="1" t="s">
        <v>346</v>
      </c>
      <c r="E608" s="1" t="s">
        <v>346</v>
      </c>
      <c r="F608" s="1">
        <v>2294889</v>
      </c>
      <c r="H608" s="4">
        <v>44606</v>
      </c>
      <c r="I608" s="1" t="s">
        <v>1</v>
      </c>
      <c r="J608" s="1">
        <v>25</v>
      </c>
    </row>
    <row r="609" spans="1:10" x14ac:dyDescent="0.2">
      <c r="A609" s="1">
        <v>446</v>
      </c>
      <c r="B609" s="1" t="s">
        <v>347</v>
      </c>
      <c r="C609" s="1" t="s">
        <v>348</v>
      </c>
      <c r="E609" s="1" t="s">
        <v>348</v>
      </c>
      <c r="F609" s="1">
        <v>2295066</v>
      </c>
      <c r="H609" s="4">
        <v>44602</v>
      </c>
      <c r="I609" s="1" t="s">
        <v>18</v>
      </c>
      <c r="J609" s="1">
        <v>300</v>
      </c>
    </row>
    <row r="610" spans="1:10" x14ac:dyDescent="0.2">
      <c r="A610" s="1">
        <v>446</v>
      </c>
      <c r="B610" s="1" t="s">
        <v>347</v>
      </c>
      <c r="C610" s="1" t="s">
        <v>348</v>
      </c>
      <c r="E610" s="1" t="s">
        <v>348</v>
      </c>
      <c r="F610" s="1">
        <v>2295066</v>
      </c>
      <c r="H610" s="4">
        <v>44602</v>
      </c>
      <c r="I610" s="1" t="s">
        <v>5</v>
      </c>
      <c r="J610" s="1">
        <v>300</v>
      </c>
    </row>
    <row r="611" spans="1:10" x14ac:dyDescent="0.2">
      <c r="A611" s="1">
        <v>444</v>
      </c>
      <c r="B611" s="1" t="s">
        <v>349</v>
      </c>
      <c r="C611" s="1" t="s">
        <v>350</v>
      </c>
      <c r="E611" s="1" t="s">
        <v>350</v>
      </c>
      <c r="F611" s="1">
        <v>2294435</v>
      </c>
      <c r="H611" s="4">
        <v>44601</v>
      </c>
      <c r="I611" s="1" t="s">
        <v>7</v>
      </c>
      <c r="J611" s="1">
        <v>1250</v>
      </c>
    </row>
    <row r="612" spans="1:10" x14ac:dyDescent="0.2">
      <c r="A612" s="1">
        <v>443</v>
      </c>
      <c r="B612" s="1" t="s">
        <v>351</v>
      </c>
      <c r="C612" s="1" t="s">
        <v>352</v>
      </c>
      <c r="F612" s="1">
        <v>2294549</v>
      </c>
      <c r="H612" s="4">
        <v>44601</v>
      </c>
      <c r="I612" s="1" t="s">
        <v>40</v>
      </c>
      <c r="J612" s="1">
        <v>125</v>
      </c>
    </row>
    <row r="613" spans="1:10" x14ac:dyDescent="0.2">
      <c r="A613" s="1">
        <v>442</v>
      </c>
      <c r="B613" s="1" t="s">
        <v>106</v>
      </c>
      <c r="C613" s="1" t="s">
        <v>107</v>
      </c>
      <c r="E613" s="1" t="s">
        <v>107</v>
      </c>
      <c r="F613" s="1">
        <v>2294842</v>
      </c>
      <c r="H613" s="4">
        <v>44601</v>
      </c>
      <c r="I613" s="1" t="s">
        <v>19</v>
      </c>
      <c r="J613" s="1">
        <v>200</v>
      </c>
    </row>
    <row r="614" spans="1:10" x14ac:dyDescent="0.2">
      <c r="A614" s="1">
        <v>442</v>
      </c>
      <c r="B614" s="1" t="s">
        <v>106</v>
      </c>
      <c r="C614" s="1" t="s">
        <v>107</v>
      </c>
      <c r="E614" s="1" t="s">
        <v>107</v>
      </c>
      <c r="F614" s="1">
        <v>2294842</v>
      </c>
      <c r="H614" s="4">
        <v>44601</v>
      </c>
      <c r="I614" s="1" t="s">
        <v>4</v>
      </c>
      <c r="J614" s="1">
        <v>2000</v>
      </c>
    </row>
    <row r="615" spans="1:10" x14ac:dyDescent="0.2">
      <c r="A615" s="1">
        <v>441</v>
      </c>
      <c r="B615" s="1" t="s">
        <v>353</v>
      </c>
      <c r="C615" s="1" t="s">
        <v>354</v>
      </c>
      <c r="E615" s="1" t="s">
        <v>354</v>
      </c>
      <c r="F615" s="1">
        <v>2295063</v>
      </c>
      <c r="H615" s="4">
        <v>44601</v>
      </c>
      <c r="I615" s="1" t="s">
        <v>4</v>
      </c>
      <c r="J615" s="1">
        <v>150</v>
      </c>
    </row>
    <row r="616" spans="1:10" x14ac:dyDescent="0.2">
      <c r="A616" s="1">
        <v>440</v>
      </c>
      <c r="B616" s="1" t="s">
        <v>355</v>
      </c>
      <c r="C616" s="1" t="s">
        <v>356</v>
      </c>
      <c r="E616" s="1" t="s">
        <v>356</v>
      </c>
      <c r="F616" s="1">
        <v>2295061</v>
      </c>
      <c r="H616" s="4">
        <v>44600</v>
      </c>
      <c r="I616" s="1" t="s">
        <v>1</v>
      </c>
      <c r="J616" s="1">
        <v>200</v>
      </c>
    </row>
    <row r="617" spans="1:10" x14ac:dyDescent="0.2">
      <c r="A617" s="1">
        <v>439</v>
      </c>
      <c r="B617" s="1" t="s">
        <v>106</v>
      </c>
      <c r="C617" s="1" t="s">
        <v>107</v>
      </c>
      <c r="E617" s="1" t="s">
        <v>107</v>
      </c>
      <c r="F617" s="1">
        <v>2294842</v>
      </c>
      <c r="H617" s="4">
        <v>44600</v>
      </c>
      <c r="I617" s="1" t="s">
        <v>19</v>
      </c>
      <c r="J617" s="1">
        <v>150</v>
      </c>
    </row>
    <row r="618" spans="1:10" x14ac:dyDescent="0.2">
      <c r="A618" s="1">
        <v>438</v>
      </c>
      <c r="B618" s="1" t="s">
        <v>357</v>
      </c>
      <c r="C618" s="1" t="s">
        <v>358</v>
      </c>
      <c r="F618" s="1">
        <v>2293973</v>
      </c>
      <c r="H618" s="4">
        <v>44595</v>
      </c>
      <c r="I618" s="1" t="s">
        <v>4</v>
      </c>
      <c r="J618" s="1">
        <v>300</v>
      </c>
    </row>
    <row r="619" spans="1:10" x14ac:dyDescent="0.2">
      <c r="A619" s="1">
        <v>436</v>
      </c>
      <c r="B619" s="1" t="s">
        <v>359</v>
      </c>
      <c r="C619" s="1" t="s">
        <v>360</v>
      </c>
      <c r="E619" s="1" t="s">
        <v>360</v>
      </c>
      <c r="F619" s="1">
        <v>2294958</v>
      </c>
      <c r="H619" s="4">
        <v>44599</v>
      </c>
      <c r="I619" s="1" t="s">
        <v>7</v>
      </c>
      <c r="J619" s="1">
        <v>200</v>
      </c>
    </row>
    <row r="620" spans="1:10" x14ac:dyDescent="0.2">
      <c r="A620" s="1">
        <v>436</v>
      </c>
      <c r="B620" s="1" t="s">
        <v>359</v>
      </c>
      <c r="C620" s="1" t="s">
        <v>360</v>
      </c>
      <c r="E620" s="1" t="s">
        <v>360</v>
      </c>
      <c r="F620" s="1">
        <v>2294958</v>
      </c>
      <c r="H620" s="4">
        <v>44599</v>
      </c>
      <c r="I620" s="1" t="s">
        <v>20</v>
      </c>
      <c r="J620" s="1">
        <v>150</v>
      </c>
    </row>
    <row r="621" spans="1:10" x14ac:dyDescent="0.2">
      <c r="A621" s="1">
        <v>433</v>
      </c>
      <c r="B621" s="1" t="s">
        <v>361</v>
      </c>
      <c r="C621" s="1" t="s">
        <v>362</v>
      </c>
      <c r="E621" s="1" t="s">
        <v>362</v>
      </c>
      <c r="F621" s="1">
        <v>2294354</v>
      </c>
      <c r="H621" s="4">
        <v>44595</v>
      </c>
      <c r="I621" s="1" t="s">
        <v>7</v>
      </c>
      <c r="J621" s="1">
        <v>100</v>
      </c>
    </row>
    <row r="622" spans="1:10" x14ac:dyDescent="0.2">
      <c r="A622" s="1">
        <v>433</v>
      </c>
      <c r="B622" s="1" t="s">
        <v>361</v>
      </c>
      <c r="C622" s="1" t="s">
        <v>362</v>
      </c>
      <c r="E622" s="1" t="s">
        <v>362</v>
      </c>
      <c r="F622" s="1">
        <v>2294354</v>
      </c>
      <c r="H622" s="4">
        <v>44595</v>
      </c>
      <c r="I622" s="1" t="s">
        <v>24</v>
      </c>
      <c r="J622" s="1">
        <v>200</v>
      </c>
    </row>
    <row r="623" spans="1:10" x14ac:dyDescent="0.2">
      <c r="A623" s="1">
        <v>430</v>
      </c>
      <c r="B623" s="1" t="s">
        <v>174</v>
      </c>
      <c r="C623" s="1" t="s">
        <v>175</v>
      </c>
      <c r="E623" s="1" t="s">
        <v>175</v>
      </c>
      <c r="F623" s="1">
        <v>2294617</v>
      </c>
      <c r="H623" s="4">
        <v>44595</v>
      </c>
      <c r="I623" s="1" t="s">
        <v>57</v>
      </c>
      <c r="J623" s="1">
        <v>10</v>
      </c>
    </row>
    <row r="624" spans="1:10" x14ac:dyDescent="0.2">
      <c r="A624" s="1">
        <v>429</v>
      </c>
      <c r="B624" s="1" t="s">
        <v>363</v>
      </c>
      <c r="C624" s="1" t="s">
        <v>364</v>
      </c>
      <c r="F624" s="1">
        <v>2294934</v>
      </c>
      <c r="H624" s="4">
        <v>44595</v>
      </c>
      <c r="I624" s="1" t="s">
        <v>5</v>
      </c>
      <c r="J624" s="1">
        <v>200</v>
      </c>
    </row>
    <row r="625" spans="1:10" x14ac:dyDescent="0.2">
      <c r="A625" s="1">
        <v>429</v>
      </c>
      <c r="B625" s="1" t="s">
        <v>363</v>
      </c>
      <c r="C625" s="1" t="s">
        <v>364</v>
      </c>
      <c r="F625" s="1">
        <v>2294934</v>
      </c>
      <c r="H625" s="4">
        <v>44595</v>
      </c>
      <c r="I625" s="1" t="s">
        <v>41</v>
      </c>
      <c r="J625" s="1">
        <v>50</v>
      </c>
    </row>
    <row r="626" spans="1:10" x14ac:dyDescent="0.2">
      <c r="A626" s="1">
        <v>424</v>
      </c>
      <c r="B626" s="1" t="s">
        <v>361</v>
      </c>
      <c r="C626" s="1" t="s">
        <v>362</v>
      </c>
      <c r="E626" s="1" t="s">
        <v>362</v>
      </c>
      <c r="F626" s="1">
        <v>2294354</v>
      </c>
      <c r="H626" s="4">
        <v>44595</v>
      </c>
      <c r="I626" s="1" t="s">
        <v>11</v>
      </c>
      <c r="J626" s="1">
        <v>100</v>
      </c>
    </row>
    <row r="627" spans="1:10" x14ac:dyDescent="0.2">
      <c r="A627" s="1">
        <v>424</v>
      </c>
      <c r="B627" s="1" t="s">
        <v>361</v>
      </c>
      <c r="C627" s="1" t="s">
        <v>362</v>
      </c>
      <c r="E627" s="1" t="s">
        <v>362</v>
      </c>
      <c r="F627" s="1">
        <v>2294354</v>
      </c>
      <c r="H627" s="4">
        <v>44595</v>
      </c>
      <c r="I627" s="1" t="s">
        <v>24</v>
      </c>
      <c r="J627" s="1">
        <v>1250</v>
      </c>
    </row>
    <row r="628" spans="1:10" x14ac:dyDescent="0.2">
      <c r="A628" s="1">
        <v>419</v>
      </c>
      <c r="B628" s="1" t="s">
        <v>106</v>
      </c>
      <c r="C628" s="1" t="s">
        <v>107</v>
      </c>
      <c r="E628" s="1" t="s">
        <v>107</v>
      </c>
      <c r="F628" s="1">
        <v>2294842</v>
      </c>
      <c r="H628" s="4">
        <v>44595</v>
      </c>
      <c r="I628" s="1" t="s">
        <v>1</v>
      </c>
      <c r="J628" s="1">
        <v>10</v>
      </c>
    </row>
    <row r="629" spans="1:10" x14ac:dyDescent="0.2">
      <c r="A629" s="1">
        <v>386</v>
      </c>
      <c r="B629" s="1" t="s">
        <v>365</v>
      </c>
      <c r="C629" s="1" t="s">
        <v>366</v>
      </c>
      <c r="E629" s="1" t="s">
        <v>366</v>
      </c>
      <c r="F629" s="1">
        <v>2294393</v>
      </c>
      <c r="H629" s="4">
        <v>44592</v>
      </c>
      <c r="I629" s="1" t="s">
        <v>18</v>
      </c>
      <c r="J629" s="1">
        <v>500</v>
      </c>
    </row>
    <row r="630" spans="1:10" x14ac:dyDescent="0.2">
      <c r="A630" s="1">
        <v>385</v>
      </c>
      <c r="B630" s="1" t="s">
        <v>367</v>
      </c>
      <c r="C630" s="1" t="s">
        <v>368</v>
      </c>
      <c r="E630" s="1" t="s">
        <v>368</v>
      </c>
      <c r="F630" s="1">
        <v>2295002</v>
      </c>
      <c r="H630" s="4">
        <v>44589</v>
      </c>
      <c r="I630" s="1" t="s">
        <v>37</v>
      </c>
      <c r="J630" s="1">
        <v>300</v>
      </c>
    </row>
    <row r="631" spans="1:10" x14ac:dyDescent="0.2">
      <c r="A631" s="1">
        <v>384</v>
      </c>
      <c r="B631" s="1" t="s">
        <v>367</v>
      </c>
      <c r="C631" s="1" t="s">
        <v>368</v>
      </c>
      <c r="E631" s="1" t="s">
        <v>368</v>
      </c>
      <c r="F631" s="1">
        <v>2295002</v>
      </c>
      <c r="H631" s="4">
        <v>44589</v>
      </c>
      <c r="I631" s="1" t="s">
        <v>38</v>
      </c>
      <c r="J631" s="1">
        <v>125</v>
      </c>
    </row>
    <row r="632" spans="1:10" x14ac:dyDescent="0.2">
      <c r="A632" s="1">
        <v>383</v>
      </c>
      <c r="B632" s="1" t="s">
        <v>232</v>
      </c>
      <c r="C632" s="1" t="s">
        <v>233</v>
      </c>
      <c r="E632" s="1" t="s">
        <v>233</v>
      </c>
      <c r="F632" s="1">
        <v>2294890</v>
      </c>
      <c r="H632" s="4">
        <v>44581</v>
      </c>
      <c r="I632" s="1" t="s">
        <v>1</v>
      </c>
      <c r="J632" s="1">
        <v>100</v>
      </c>
    </row>
    <row r="633" spans="1:10" x14ac:dyDescent="0.2">
      <c r="A633" s="1">
        <v>381</v>
      </c>
      <c r="B633" s="1" t="s">
        <v>369</v>
      </c>
      <c r="C633" s="1" t="s">
        <v>143</v>
      </c>
      <c r="F633" s="1">
        <v>2293735</v>
      </c>
      <c r="H633" s="4">
        <v>44579</v>
      </c>
      <c r="I633" s="1" t="s">
        <v>1</v>
      </c>
      <c r="J633" s="1">
        <v>50</v>
      </c>
    </row>
    <row r="634" spans="1:10" x14ac:dyDescent="0.2">
      <c r="A634" s="1">
        <v>381</v>
      </c>
      <c r="B634" s="1" t="s">
        <v>369</v>
      </c>
      <c r="C634" s="1" t="s">
        <v>143</v>
      </c>
      <c r="F634" s="1">
        <v>2293735</v>
      </c>
      <c r="H634" s="4">
        <v>44579</v>
      </c>
      <c r="I634" s="1" t="s">
        <v>7</v>
      </c>
      <c r="J634" s="1">
        <v>300</v>
      </c>
    </row>
    <row r="635" spans="1:10" x14ac:dyDescent="0.2">
      <c r="A635" s="1">
        <v>379</v>
      </c>
      <c r="B635" s="1" t="s">
        <v>370</v>
      </c>
      <c r="C635" s="1" t="s">
        <v>371</v>
      </c>
      <c r="F635" s="1">
        <v>2294812</v>
      </c>
      <c r="H635" s="4">
        <v>44575</v>
      </c>
      <c r="I635" s="1" t="s">
        <v>46</v>
      </c>
      <c r="J635" s="1">
        <v>200</v>
      </c>
    </row>
    <row r="636" spans="1:10" x14ac:dyDescent="0.2">
      <c r="A636" s="1">
        <v>379</v>
      </c>
      <c r="B636" s="1" t="s">
        <v>370</v>
      </c>
      <c r="C636" s="1" t="s">
        <v>371</v>
      </c>
      <c r="F636" s="1">
        <v>2294812</v>
      </c>
      <c r="H636" s="4">
        <v>44575</v>
      </c>
      <c r="I636" s="1" t="s">
        <v>77</v>
      </c>
      <c r="J636" s="1">
        <v>300</v>
      </c>
    </row>
    <row r="637" spans="1:10" x14ac:dyDescent="0.2">
      <c r="A637" s="1">
        <v>379</v>
      </c>
      <c r="B637" s="1" t="s">
        <v>370</v>
      </c>
      <c r="C637" s="1" t="s">
        <v>371</v>
      </c>
      <c r="F637" s="1">
        <v>2294812</v>
      </c>
      <c r="H637" s="4">
        <v>44575</v>
      </c>
      <c r="I637" s="1" t="s">
        <v>78</v>
      </c>
      <c r="J637" s="1">
        <v>400</v>
      </c>
    </row>
    <row r="638" spans="1:10" x14ac:dyDescent="0.2">
      <c r="A638" s="1">
        <v>378</v>
      </c>
      <c r="B638" s="1" t="s">
        <v>130</v>
      </c>
      <c r="C638" s="1" t="s">
        <v>131</v>
      </c>
      <c r="E638" s="1" t="s">
        <v>131</v>
      </c>
      <c r="F638" s="1">
        <v>2294769</v>
      </c>
      <c r="H638" s="4">
        <v>44574</v>
      </c>
      <c r="I638" s="1" t="s">
        <v>19</v>
      </c>
      <c r="J638" s="1">
        <v>50</v>
      </c>
    </row>
    <row r="639" spans="1:10" x14ac:dyDescent="0.2">
      <c r="A639" s="1">
        <v>378</v>
      </c>
      <c r="B639" s="1" t="s">
        <v>130</v>
      </c>
      <c r="C639" s="1" t="s">
        <v>131</v>
      </c>
      <c r="E639" s="1" t="s">
        <v>131</v>
      </c>
      <c r="F639" s="1">
        <v>2294769</v>
      </c>
      <c r="H639" s="4">
        <v>44574</v>
      </c>
      <c r="I639" s="1" t="s">
        <v>4</v>
      </c>
      <c r="J639" s="1">
        <v>150</v>
      </c>
    </row>
    <row r="640" spans="1:10" x14ac:dyDescent="0.2">
      <c r="A640" s="1">
        <v>377</v>
      </c>
      <c r="B640" s="1" t="s">
        <v>163</v>
      </c>
      <c r="C640" s="1" t="s">
        <v>164</v>
      </c>
      <c r="E640" s="1" t="s">
        <v>164</v>
      </c>
      <c r="F640" s="1">
        <v>2294823</v>
      </c>
      <c r="H640" s="4">
        <v>44574</v>
      </c>
      <c r="I640" s="1" t="s">
        <v>25</v>
      </c>
      <c r="J640" s="1">
        <v>200</v>
      </c>
    </row>
    <row r="641" spans="1:10" x14ac:dyDescent="0.2">
      <c r="A641" s="1">
        <v>375</v>
      </c>
      <c r="B641" s="1" t="s">
        <v>163</v>
      </c>
      <c r="C641" s="1" t="s">
        <v>164</v>
      </c>
      <c r="E641" s="1" t="s">
        <v>164</v>
      </c>
      <c r="F641" s="1">
        <v>2294823</v>
      </c>
      <c r="H641" s="4">
        <v>44574</v>
      </c>
      <c r="I641" s="1" t="s">
        <v>11</v>
      </c>
      <c r="J641" s="1">
        <v>150</v>
      </c>
    </row>
    <row r="642" spans="1:10" x14ac:dyDescent="0.2">
      <c r="A642" s="1">
        <v>373</v>
      </c>
      <c r="B642" s="1" t="s">
        <v>130</v>
      </c>
      <c r="C642" s="1" t="s">
        <v>131</v>
      </c>
      <c r="E642" s="1" t="s">
        <v>131</v>
      </c>
      <c r="F642" s="1">
        <v>2294769</v>
      </c>
      <c r="H642" s="4">
        <v>44573</v>
      </c>
      <c r="I642" s="1" t="s">
        <v>4</v>
      </c>
      <c r="J642" s="1">
        <v>50</v>
      </c>
    </row>
    <row r="643" spans="1:10" x14ac:dyDescent="0.2">
      <c r="A643" s="1">
        <v>373</v>
      </c>
      <c r="B643" s="1" t="s">
        <v>130</v>
      </c>
      <c r="C643" s="1" t="s">
        <v>131</v>
      </c>
      <c r="E643" s="1" t="s">
        <v>131</v>
      </c>
      <c r="F643" s="1">
        <v>2294769</v>
      </c>
      <c r="H643" s="4">
        <v>44573</v>
      </c>
      <c r="I643" s="1" t="s">
        <v>19</v>
      </c>
      <c r="J643" s="1">
        <v>500</v>
      </c>
    </row>
    <row r="644" spans="1:10" x14ac:dyDescent="0.2">
      <c r="A644" s="1">
        <v>340</v>
      </c>
      <c r="B644" s="1" t="s">
        <v>106</v>
      </c>
      <c r="C644" s="1" t="s">
        <v>107</v>
      </c>
      <c r="E644" s="1" t="s">
        <v>107</v>
      </c>
      <c r="F644" s="1">
        <v>2294842</v>
      </c>
      <c r="H644" s="4">
        <v>44572</v>
      </c>
      <c r="I644" s="1" t="s">
        <v>1</v>
      </c>
      <c r="J644" s="1">
        <v>150</v>
      </c>
    </row>
    <row r="645" spans="1:10" x14ac:dyDescent="0.2">
      <c r="A645" s="1">
        <v>339</v>
      </c>
      <c r="B645" s="1" t="s">
        <v>372</v>
      </c>
      <c r="C645" s="1" t="s">
        <v>373</v>
      </c>
      <c r="F645" s="1">
        <v>2294961</v>
      </c>
      <c r="H645" s="4">
        <v>44571</v>
      </c>
      <c r="I645" s="1" t="s">
        <v>4</v>
      </c>
      <c r="J645" s="1">
        <v>200</v>
      </c>
    </row>
    <row r="646" spans="1:10" x14ac:dyDescent="0.2">
      <c r="A646" s="1">
        <v>337</v>
      </c>
      <c r="B646" s="1" t="s">
        <v>372</v>
      </c>
      <c r="C646" s="1" t="s">
        <v>373</v>
      </c>
      <c r="F646" s="1">
        <v>2294961</v>
      </c>
      <c r="H646" s="4">
        <v>44571</v>
      </c>
      <c r="I646" s="1" t="s">
        <v>7</v>
      </c>
      <c r="J646" s="1">
        <v>300</v>
      </c>
    </row>
    <row r="647" spans="1:10" x14ac:dyDescent="0.2">
      <c r="A647" s="1">
        <v>334</v>
      </c>
      <c r="B647" s="1" t="s">
        <v>250</v>
      </c>
      <c r="C647" s="1" t="s">
        <v>251</v>
      </c>
      <c r="E647" s="1" t="s">
        <v>252</v>
      </c>
      <c r="F647" s="1">
        <v>2294416</v>
      </c>
      <c r="H647" s="4">
        <v>44532</v>
      </c>
      <c r="I647" s="1" t="s">
        <v>12</v>
      </c>
      <c r="J647" s="1">
        <v>150</v>
      </c>
    </row>
    <row r="648" spans="1:10" x14ac:dyDescent="0.2">
      <c r="A648" s="1">
        <v>334</v>
      </c>
      <c r="B648" s="1" t="s">
        <v>250</v>
      </c>
      <c r="C648" s="1" t="s">
        <v>251</v>
      </c>
      <c r="E648" s="1" t="s">
        <v>252</v>
      </c>
      <c r="F648" s="1">
        <v>2294416</v>
      </c>
      <c r="H648" s="4">
        <v>44532</v>
      </c>
      <c r="I648" s="1" t="s">
        <v>11</v>
      </c>
      <c r="J648" s="1">
        <v>200</v>
      </c>
    </row>
    <row r="649" spans="1:10" x14ac:dyDescent="0.2">
      <c r="A649" s="1">
        <v>332</v>
      </c>
      <c r="B649" s="1" t="s">
        <v>245</v>
      </c>
      <c r="C649" s="1" t="s">
        <v>246</v>
      </c>
      <c r="E649" s="1" t="s">
        <v>246</v>
      </c>
      <c r="F649" s="1">
        <v>2294392</v>
      </c>
      <c r="H649" s="4">
        <v>44552</v>
      </c>
      <c r="I649" s="1" t="s">
        <v>1</v>
      </c>
      <c r="J649" s="1">
        <v>0.75</v>
      </c>
    </row>
    <row r="650" spans="1:10" x14ac:dyDescent="0.2">
      <c r="A650" s="1">
        <v>331</v>
      </c>
      <c r="B650" s="1" t="s">
        <v>374</v>
      </c>
      <c r="C650" s="1" t="s">
        <v>375</v>
      </c>
      <c r="E650" s="1" t="s">
        <v>375</v>
      </c>
      <c r="F650" s="1">
        <v>2294951</v>
      </c>
      <c r="H650" s="4">
        <v>44552</v>
      </c>
      <c r="I650" s="1" t="s">
        <v>41</v>
      </c>
      <c r="J650" s="1">
        <v>500</v>
      </c>
    </row>
    <row r="651" spans="1:10" x14ac:dyDescent="0.2">
      <c r="A651" s="1">
        <v>330</v>
      </c>
      <c r="B651" s="1" t="s">
        <v>334</v>
      </c>
      <c r="C651" s="1" t="s">
        <v>335</v>
      </c>
      <c r="E651" s="1" t="s">
        <v>335</v>
      </c>
      <c r="F651" s="1">
        <v>2294487</v>
      </c>
      <c r="H651" s="4">
        <v>44551</v>
      </c>
      <c r="I651" s="1" t="s">
        <v>18</v>
      </c>
      <c r="J651" s="1">
        <v>300</v>
      </c>
    </row>
    <row r="652" spans="1:10" x14ac:dyDescent="0.2">
      <c r="A652" s="1">
        <v>326</v>
      </c>
      <c r="B652" s="1" t="s">
        <v>376</v>
      </c>
      <c r="C652" s="1" t="s">
        <v>352</v>
      </c>
      <c r="F652" s="1">
        <v>2294549</v>
      </c>
      <c r="H652" s="4">
        <v>44545</v>
      </c>
      <c r="I652" s="1" t="s">
        <v>30</v>
      </c>
      <c r="J652" s="1">
        <v>100</v>
      </c>
    </row>
    <row r="653" spans="1:10" x14ac:dyDescent="0.2">
      <c r="A653" s="1">
        <v>326</v>
      </c>
      <c r="B653" s="1" t="s">
        <v>376</v>
      </c>
      <c r="C653" s="1" t="s">
        <v>352</v>
      </c>
      <c r="F653" s="1">
        <v>2294549</v>
      </c>
      <c r="H653" s="4">
        <v>44545</v>
      </c>
      <c r="I653" s="1" t="s">
        <v>19</v>
      </c>
      <c r="J653" s="1">
        <v>125</v>
      </c>
    </row>
    <row r="654" spans="1:10" x14ac:dyDescent="0.2">
      <c r="A654" s="1">
        <v>324</v>
      </c>
      <c r="B654" s="1" t="s">
        <v>130</v>
      </c>
      <c r="C654" s="1" t="s">
        <v>131</v>
      </c>
      <c r="E654" s="1" t="s">
        <v>131</v>
      </c>
      <c r="F654" s="1">
        <v>2294769</v>
      </c>
      <c r="H654" s="4">
        <v>44544</v>
      </c>
      <c r="I654" s="1" t="s">
        <v>4</v>
      </c>
      <c r="J654" s="1">
        <v>100</v>
      </c>
    </row>
    <row r="655" spans="1:10" x14ac:dyDescent="0.2">
      <c r="A655" s="1">
        <v>324</v>
      </c>
      <c r="B655" s="1" t="s">
        <v>130</v>
      </c>
      <c r="C655" s="1" t="s">
        <v>131</v>
      </c>
      <c r="E655" s="1" t="s">
        <v>131</v>
      </c>
      <c r="F655" s="1">
        <v>2294769</v>
      </c>
      <c r="H655" s="4">
        <v>44544</v>
      </c>
      <c r="I655" s="1" t="s">
        <v>19</v>
      </c>
      <c r="J655" s="1">
        <v>200</v>
      </c>
    </row>
    <row r="656" spans="1:10" x14ac:dyDescent="0.2">
      <c r="A656" s="1">
        <v>323</v>
      </c>
      <c r="B656" s="1" t="s">
        <v>130</v>
      </c>
      <c r="C656" s="1" t="s">
        <v>131</v>
      </c>
      <c r="E656" s="1" t="s">
        <v>131</v>
      </c>
      <c r="F656" s="1">
        <v>2294769</v>
      </c>
      <c r="H656" s="4">
        <v>44543</v>
      </c>
      <c r="I656" s="1" t="s">
        <v>4</v>
      </c>
      <c r="J656" s="1">
        <v>150</v>
      </c>
    </row>
    <row r="657" spans="1:10" x14ac:dyDescent="0.2">
      <c r="A657" s="1">
        <v>323</v>
      </c>
      <c r="B657" s="1" t="s">
        <v>130</v>
      </c>
      <c r="C657" s="1" t="s">
        <v>131</v>
      </c>
      <c r="E657" s="1" t="s">
        <v>131</v>
      </c>
      <c r="F657" s="1">
        <v>2294769</v>
      </c>
      <c r="H657" s="4">
        <v>44543</v>
      </c>
      <c r="I657" s="1" t="s">
        <v>19</v>
      </c>
      <c r="J657" s="1">
        <v>200</v>
      </c>
    </row>
    <row r="658" spans="1:10" x14ac:dyDescent="0.2">
      <c r="A658" s="1">
        <v>321</v>
      </c>
      <c r="B658" s="1" t="s">
        <v>130</v>
      </c>
      <c r="C658" s="1" t="s">
        <v>131</v>
      </c>
      <c r="E658" s="1" t="s">
        <v>131</v>
      </c>
      <c r="F658" s="1">
        <v>2294769</v>
      </c>
      <c r="H658" s="4">
        <v>44539</v>
      </c>
      <c r="I658" s="1" t="s">
        <v>19</v>
      </c>
      <c r="J658" s="1">
        <v>150</v>
      </c>
    </row>
    <row r="659" spans="1:10" x14ac:dyDescent="0.2">
      <c r="A659" s="1">
        <v>321</v>
      </c>
      <c r="B659" s="1" t="s">
        <v>130</v>
      </c>
      <c r="C659" s="1" t="s">
        <v>131</v>
      </c>
      <c r="E659" s="1" t="s">
        <v>131</v>
      </c>
      <c r="F659" s="1">
        <v>2294769</v>
      </c>
      <c r="H659" s="4">
        <v>44539</v>
      </c>
      <c r="I659" s="1" t="s">
        <v>4</v>
      </c>
      <c r="J659" s="1">
        <v>200</v>
      </c>
    </row>
    <row r="660" spans="1:10" x14ac:dyDescent="0.2">
      <c r="A660" s="1">
        <v>320</v>
      </c>
      <c r="B660" s="1" t="s">
        <v>106</v>
      </c>
      <c r="C660" s="1" t="s">
        <v>107</v>
      </c>
      <c r="E660" s="1" t="s">
        <v>107</v>
      </c>
      <c r="F660" s="1">
        <v>2294842</v>
      </c>
      <c r="H660" s="4">
        <v>44539</v>
      </c>
      <c r="I660" s="1" t="s">
        <v>19</v>
      </c>
      <c r="J660" s="1">
        <v>150</v>
      </c>
    </row>
    <row r="661" spans="1:10" x14ac:dyDescent="0.2">
      <c r="A661" s="1">
        <v>319</v>
      </c>
      <c r="B661" s="1" t="s">
        <v>130</v>
      </c>
      <c r="C661" s="1" t="s">
        <v>131</v>
      </c>
      <c r="E661" s="1" t="s">
        <v>131</v>
      </c>
      <c r="F661" s="1">
        <v>2294769</v>
      </c>
      <c r="H661" s="4">
        <v>44539</v>
      </c>
      <c r="I661" s="1" t="s">
        <v>4</v>
      </c>
      <c r="J661" s="1">
        <v>200</v>
      </c>
    </row>
    <row r="662" spans="1:10" x14ac:dyDescent="0.2">
      <c r="A662" s="1">
        <v>319</v>
      </c>
      <c r="B662" s="1" t="s">
        <v>130</v>
      </c>
      <c r="C662" s="1" t="s">
        <v>131</v>
      </c>
      <c r="E662" s="1" t="s">
        <v>131</v>
      </c>
      <c r="F662" s="1">
        <v>2294769</v>
      </c>
      <c r="H662" s="4">
        <v>44539</v>
      </c>
      <c r="I662" s="1" t="s">
        <v>19</v>
      </c>
      <c r="J662" s="1">
        <v>200</v>
      </c>
    </row>
    <row r="663" spans="1:10" x14ac:dyDescent="0.2">
      <c r="A663" s="1">
        <v>286</v>
      </c>
      <c r="B663" s="1" t="s">
        <v>130</v>
      </c>
      <c r="C663" s="1" t="s">
        <v>131</v>
      </c>
      <c r="E663" s="1" t="s">
        <v>131</v>
      </c>
      <c r="F663" s="1">
        <v>2294769</v>
      </c>
      <c r="H663" s="4">
        <v>44536</v>
      </c>
      <c r="I663" s="1" t="s">
        <v>19</v>
      </c>
      <c r="J663" s="1">
        <v>200</v>
      </c>
    </row>
    <row r="664" spans="1:10" x14ac:dyDescent="0.2">
      <c r="A664" s="1">
        <v>286</v>
      </c>
      <c r="B664" s="1" t="s">
        <v>130</v>
      </c>
      <c r="C664" s="1" t="s">
        <v>131</v>
      </c>
      <c r="E664" s="1" t="s">
        <v>131</v>
      </c>
      <c r="F664" s="1">
        <v>2294769</v>
      </c>
      <c r="H664" s="4">
        <v>44536</v>
      </c>
      <c r="I664" s="1" t="s">
        <v>4</v>
      </c>
      <c r="J664" s="1">
        <v>150</v>
      </c>
    </row>
    <row r="665" spans="1:10" x14ac:dyDescent="0.2">
      <c r="A665" s="1">
        <v>285</v>
      </c>
      <c r="B665" s="1" t="s">
        <v>377</v>
      </c>
      <c r="C665" s="1" t="s">
        <v>378</v>
      </c>
      <c r="E665" s="1" t="s">
        <v>379</v>
      </c>
      <c r="F665" s="1">
        <v>2294702</v>
      </c>
      <c r="H665" s="4">
        <v>44434</v>
      </c>
      <c r="I665" s="1" t="s">
        <v>26</v>
      </c>
      <c r="J665" s="1">
        <v>150</v>
      </c>
    </row>
    <row r="666" spans="1:10" x14ac:dyDescent="0.2">
      <c r="A666" s="1">
        <v>284</v>
      </c>
      <c r="B666" s="1" t="s">
        <v>380</v>
      </c>
      <c r="C666" s="1" t="s">
        <v>381</v>
      </c>
      <c r="F666" s="1">
        <v>2294382</v>
      </c>
      <c r="H666" s="4">
        <v>44442</v>
      </c>
      <c r="I666" s="1" t="s">
        <v>19</v>
      </c>
      <c r="J666" s="1">
        <v>200</v>
      </c>
    </row>
    <row r="667" spans="1:10" x14ac:dyDescent="0.2">
      <c r="A667" s="1">
        <v>284</v>
      </c>
      <c r="B667" s="1" t="s">
        <v>380</v>
      </c>
      <c r="C667" s="1" t="s">
        <v>381</v>
      </c>
      <c r="F667" s="1">
        <v>2294382</v>
      </c>
      <c r="H667" s="4">
        <v>44536</v>
      </c>
      <c r="I667" s="1" t="s">
        <v>41</v>
      </c>
      <c r="J667" s="1">
        <v>500</v>
      </c>
    </row>
    <row r="668" spans="1:10" x14ac:dyDescent="0.2">
      <c r="A668" s="1">
        <v>283</v>
      </c>
      <c r="B668" s="1" t="s">
        <v>130</v>
      </c>
      <c r="C668" s="1" t="s">
        <v>131</v>
      </c>
      <c r="E668" s="1" t="s">
        <v>131</v>
      </c>
      <c r="F668" s="1">
        <v>2294769</v>
      </c>
      <c r="H668" s="4">
        <v>44536</v>
      </c>
      <c r="I668" s="1" t="s">
        <v>4</v>
      </c>
      <c r="J668" s="1">
        <v>500</v>
      </c>
    </row>
    <row r="669" spans="1:10" x14ac:dyDescent="0.2">
      <c r="A669" s="1">
        <v>283</v>
      </c>
      <c r="B669" s="1" t="s">
        <v>130</v>
      </c>
      <c r="C669" s="1" t="s">
        <v>131</v>
      </c>
      <c r="E669" s="1" t="s">
        <v>131</v>
      </c>
      <c r="F669" s="1">
        <v>2294769</v>
      </c>
      <c r="H669" s="4">
        <v>44536</v>
      </c>
      <c r="I669" s="1" t="s">
        <v>19</v>
      </c>
      <c r="J669" s="1">
        <v>100</v>
      </c>
    </row>
    <row r="670" spans="1:10" x14ac:dyDescent="0.2">
      <c r="A670" s="1">
        <v>282</v>
      </c>
      <c r="B670" s="1" t="s">
        <v>130</v>
      </c>
      <c r="C670" s="1" t="s">
        <v>131</v>
      </c>
      <c r="E670" s="1" t="s">
        <v>131</v>
      </c>
      <c r="F670" s="1">
        <v>2294769</v>
      </c>
      <c r="H670" s="4">
        <v>44532</v>
      </c>
      <c r="I670" s="1" t="s">
        <v>19</v>
      </c>
      <c r="J670" s="1">
        <v>200</v>
      </c>
    </row>
    <row r="671" spans="1:10" x14ac:dyDescent="0.2">
      <c r="A671" s="1">
        <v>282</v>
      </c>
      <c r="B671" s="1" t="s">
        <v>130</v>
      </c>
      <c r="C671" s="1" t="s">
        <v>131</v>
      </c>
      <c r="E671" s="1" t="s">
        <v>131</v>
      </c>
      <c r="F671" s="1">
        <v>2294769</v>
      </c>
      <c r="H671" s="4">
        <v>44532</v>
      </c>
      <c r="I671" s="1" t="s">
        <v>4</v>
      </c>
      <c r="J671" s="1">
        <v>150</v>
      </c>
    </row>
    <row r="672" spans="1:10" x14ac:dyDescent="0.2">
      <c r="A672" s="1">
        <v>281</v>
      </c>
      <c r="B672" s="1" t="s">
        <v>130</v>
      </c>
      <c r="C672" s="1" t="s">
        <v>131</v>
      </c>
      <c r="E672" s="1" t="s">
        <v>131</v>
      </c>
      <c r="F672" s="1">
        <v>2294769</v>
      </c>
      <c r="H672" s="4">
        <v>44532</v>
      </c>
      <c r="I672" s="1" t="s">
        <v>19</v>
      </c>
      <c r="J672" s="1">
        <v>200</v>
      </c>
    </row>
    <row r="673" spans="1:10" x14ac:dyDescent="0.2">
      <c r="A673" s="1">
        <v>281</v>
      </c>
      <c r="B673" s="1" t="s">
        <v>130</v>
      </c>
      <c r="C673" s="1" t="s">
        <v>131</v>
      </c>
      <c r="E673" s="1" t="s">
        <v>131</v>
      </c>
      <c r="F673" s="1">
        <v>2294769</v>
      </c>
      <c r="H673" s="4">
        <v>44532</v>
      </c>
      <c r="I673" s="1" t="s">
        <v>4</v>
      </c>
      <c r="J673" s="1">
        <v>150</v>
      </c>
    </row>
    <row r="674" spans="1:10" x14ac:dyDescent="0.2">
      <c r="A674" s="1">
        <v>280</v>
      </c>
      <c r="B674" s="1" t="s">
        <v>250</v>
      </c>
      <c r="C674" s="1" t="s">
        <v>251</v>
      </c>
      <c r="E674" s="1" t="s">
        <v>252</v>
      </c>
      <c r="F674" s="1">
        <v>2294416</v>
      </c>
      <c r="H674" s="4">
        <v>44532</v>
      </c>
      <c r="I674" s="1" t="s">
        <v>11</v>
      </c>
      <c r="J674" s="1">
        <v>200</v>
      </c>
    </row>
    <row r="675" spans="1:10" x14ac:dyDescent="0.2">
      <c r="A675" s="1">
        <v>280</v>
      </c>
      <c r="B675" s="1" t="s">
        <v>250</v>
      </c>
      <c r="C675" s="1" t="s">
        <v>251</v>
      </c>
      <c r="E675" s="1" t="s">
        <v>252</v>
      </c>
      <c r="F675" s="1">
        <v>2294416</v>
      </c>
      <c r="H675" s="4">
        <v>44532</v>
      </c>
      <c r="I675" s="1" t="s">
        <v>19</v>
      </c>
      <c r="J675" s="1">
        <v>150</v>
      </c>
    </row>
    <row r="676" spans="1:10" x14ac:dyDescent="0.2">
      <c r="A676" s="1">
        <v>280</v>
      </c>
      <c r="B676" s="1" t="s">
        <v>250</v>
      </c>
      <c r="C676" s="1" t="s">
        <v>251</v>
      </c>
      <c r="E676" s="1" t="s">
        <v>252</v>
      </c>
      <c r="F676" s="1">
        <v>2294416</v>
      </c>
      <c r="H676" s="4">
        <v>44532</v>
      </c>
      <c r="I676" s="1" t="s">
        <v>1</v>
      </c>
      <c r="J676" s="1">
        <v>200</v>
      </c>
    </row>
    <row r="677" spans="1:10" x14ac:dyDescent="0.2">
      <c r="A677" s="1">
        <v>276</v>
      </c>
      <c r="B677" s="1" t="s">
        <v>382</v>
      </c>
      <c r="C677" s="1" t="s">
        <v>383</v>
      </c>
      <c r="F677" s="1">
        <v>2294375</v>
      </c>
      <c r="H677" s="4">
        <v>44532</v>
      </c>
      <c r="I677" s="1" t="s">
        <v>41</v>
      </c>
      <c r="J677" s="1">
        <v>300</v>
      </c>
    </row>
    <row r="678" spans="1:10" x14ac:dyDescent="0.2">
      <c r="A678" s="1">
        <v>276</v>
      </c>
      <c r="B678" s="1" t="s">
        <v>382</v>
      </c>
      <c r="C678" s="1" t="s">
        <v>383</v>
      </c>
      <c r="F678" s="1">
        <v>2294375</v>
      </c>
      <c r="H678" s="4">
        <v>44532</v>
      </c>
      <c r="I678" s="1" t="s">
        <v>31</v>
      </c>
      <c r="J678" s="1">
        <v>500</v>
      </c>
    </row>
    <row r="679" spans="1:10" x14ac:dyDescent="0.2">
      <c r="A679" s="1">
        <v>276</v>
      </c>
      <c r="B679" s="1" t="s">
        <v>382</v>
      </c>
      <c r="C679" s="1" t="s">
        <v>383</v>
      </c>
      <c r="F679" s="1">
        <v>2294375</v>
      </c>
      <c r="H679" s="4">
        <v>44532</v>
      </c>
      <c r="I679" s="1" t="s">
        <v>45</v>
      </c>
      <c r="J679" s="1">
        <v>250</v>
      </c>
    </row>
    <row r="680" spans="1:10" x14ac:dyDescent="0.2">
      <c r="A680" s="1">
        <v>276</v>
      </c>
      <c r="B680" s="1" t="s">
        <v>382</v>
      </c>
      <c r="C680" s="1" t="s">
        <v>383</v>
      </c>
      <c r="F680" s="1">
        <v>2294375</v>
      </c>
      <c r="H680" s="4">
        <v>44532</v>
      </c>
      <c r="I680" s="1" t="s">
        <v>54</v>
      </c>
      <c r="J680" s="1">
        <v>500</v>
      </c>
    </row>
    <row r="681" spans="1:10" x14ac:dyDescent="0.2">
      <c r="A681" s="1">
        <v>276</v>
      </c>
      <c r="B681" s="1" t="s">
        <v>382</v>
      </c>
      <c r="C681" s="1" t="s">
        <v>383</v>
      </c>
      <c r="F681" s="1">
        <v>2294375</v>
      </c>
      <c r="H681" s="4">
        <v>44532</v>
      </c>
      <c r="I681" s="1" t="s">
        <v>55</v>
      </c>
      <c r="J681" s="1">
        <v>100</v>
      </c>
    </row>
    <row r="682" spans="1:10" x14ac:dyDescent="0.2">
      <c r="A682" s="1">
        <v>276</v>
      </c>
      <c r="B682" s="1" t="s">
        <v>382</v>
      </c>
      <c r="C682" s="1" t="s">
        <v>383</v>
      </c>
      <c r="F682" s="1">
        <v>2294375</v>
      </c>
      <c r="H682" s="4">
        <v>44532</v>
      </c>
      <c r="I682" s="1" t="s">
        <v>56</v>
      </c>
      <c r="J682" s="1">
        <v>0.75</v>
      </c>
    </row>
    <row r="683" spans="1:10" x14ac:dyDescent="0.2">
      <c r="A683" s="1">
        <v>276</v>
      </c>
      <c r="B683" s="1" t="s">
        <v>382</v>
      </c>
      <c r="C683" s="1" t="s">
        <v>383</v>
      </c>
      <c r="F683" s="1">
        <v>2294375</v>
      </c>
      <c r="H683" s="4">
        <v>44532</v>
      </c>
      <c r="I683" s="1" t="s">
        <v>11</v>
      </c>
      <c r="J683" s="1">
        <v>100</v>
      </c>
    </row>
    <row r="684" spans="1:10" x14ac:dyDescent="0.2">
      <c r="A684" s="1">
        <v>276</v>
      </c>
      <c r="B684" s="1" t="s">
        <v>382</v>
      </c>
      <c r="C684" s="1" t="s">
        <v>383</v>
      </c>
      <c r="F684" s="1">
        <v>2294375</v>
      </c>
      <c r="H684" s="4">
        <v>44532</v>
      </c>
      <c r="I684" s="1" t="s">
        <v>35</v>
      </c>
      <c r="J684" s="1">
        <v>67.42</v>
      </c>
    </row>
    <row r="685" spans="1:10" x14ac:dyDescent="0.2">
      <c r="A685" s="1">
        <v>276</v>
      </c>
      <c r="B685" s="1" t="s">
        <v>382</v>
      </c>
      <c r="C685" s="1" t="s">
        <v>383</v>
      </c>
      <c r="F685" s="1">
        <v>2294375</v>
      </c>
      <c r="H685" s="4">
        <v>44532</v>
      </c>
      <c r="I685" s="1" t="s">
        <v>1</v>
      </c>
      <c r="J685" s="1">
        <v>25</v>
      </c>
    </row>
    <row r="686" spans="1:10" x14ac:dyDescent="0.2">
      <c r="A686" s="1">
        <v>276</v>
      </c>
      <c r="B686" s="1" t="s">
        <v>382</v>
      </c>
      <c r="C686" s="1" t="s">
        <v>383</v>
      </c>
      <c r="F686" s="1">
        <v>2294375</v>
      </c>
      <c r="H686" s="4">
        <v>44532</v>
      </c>
      <c r="I686" s="1" t="s">
        <v>49</v>
      </c>
      <c r="J686" s="1">
        <v>95.25</v>
      </c>
    </row>
    <row r="687" spans="1:10" x14ac:dyDescent="0.2">
      <c r="A687" s="1">
        <v>276</v>
      </c>
      <c r="B687" s="1" t="s">
        <v>382</v>
      </c>
      <c r="C687" s="1" t="s">
        <v>383</v>
      </c>
      <c r="F687" s="1">
        <v>2294375</v>
      </c>
      <c r="H687" s="4">
        <v>44532</v>
      </c>
      <c r="I687" s="1" t="s">
        <v>12</v>
      </c>
      <c r="J687" s="1">
        <v>77.05</v>
      </c>
    </row>
    <row r="688" spans="1:10" x14ac:dyDescent="0.2">
      <c r="A688" s="1">
        <v>276</v>
      </c>
      <c r="B688" s="1" t="s">
        <v>382</v>
      </c>
      <c r="C688" s="1" t="s">
        <v>383</v>
      </c>
      <c r="F688" s="1">
        <v>2294375</v>
      </c>
      <c r="H688" s="4">
        <v>44532</v>
      </c>
      <c r="I688" s="1" t="s">
        <v>48</v>
      </c>
      <c r="J688" s="1">
        <v>67.42</v>
      </c>
    </row>
    <row r="689" spans="1:10" x14ac:dyDescent="0.2">
      <c r="A689" s="1">
        <v>276</v>
      </c>
      <c r="B689" s="1" t="s">
        <v>382</v>
      </c>
      <c r="C689" s="1" t="s">
        <v>383</v>
      </c>
      <c r="F689" s="1">
        <v>2294375</v>
      </c>
      <c r="H689" s="4">
        <v>44532</v>
      </c>
      <c r="I689" s="1" t="s">
        <v>34</v>
      </c>
      <c r="J689" s="1">
        <v>100</v>
      </c>
    </row>
    <row r="690" spans="1:10" x14ac:dyDescent="0.2">
      <c r="A690" s="1">
        <v>276</v>
      </c>
      <c r="B690" s="1" t="s">
        <v>382</v>
      </c>
      <c r="C690" s="1" t="s">
        <v>383</v>
      </c>
      <c r="F690" s="1">
        <v>2294375</v>
      </c>
      <c r="H690" s="4">
        <v>44532</v>
      </c>
      <c r="I690" s="1" t="s">
        <v>50</v>
      </c>
      <c r="J690" s="1">
        <v>153.04</v>
      </c>
    </row>
    <row r="691" spans="1:10" x14ac:dyDescent="0.2">
      <c r="A691" s="1">
        <v>276</v>
      </c>
      <c r="B691" s="1" t="s">
        <v>382</v>
      </c>
      <c r="C691" s="1" t="s">
        <v>383</v>
      </c>
      <c r="F691" s="1">
        <v>2294375</v>
      </c>
      <c r="H691" s="4">
        <v>44532</v>
      </c>
      <c r="I691" s="1" t="s">
        <v>51</v>
      </c>
      <c r="J691" s="1">
        <v>124.14</v>
      </c>
    </row>
    <row r="692" spans="1:10" x14ac:dyDescent="0.2">
      <c r="A692" s="1">
        <v>276</v>
      </c>
      <c r="B692" s="1" t="s">
        <v>382</v>
      </c>
      <c r="C692" s="1" t="s">
        <v>383</v>
      </c>
      <c r="F692" s="1">
        <v>2294375</v>
      </c>
      <c r="H692" s="4">
        <v>44532</v>
      </c>
      <c r="I692" s="1" t="s">
        <v>52</v>
      </c>
      <c r="J692" s="1">
        <v>210.83</v>
      </c>
    </row>
    <row r="693" spans="1:10" x14ac:dyDescent="0.2">
      <c r="A693" s="1">
        <v>276</v>
      </c>
      <c r="B693" s="1" t="s">
        <v>382</v>
      </c>
      <c r="C693" s="1" t="s">
        <v>383</v>
      </c>
      <c r="F693" s="1">
        <v>2294375</v>
      </c>
      <c r="H693" s="4">
        <v>44532</v>
      </c>
      <c r="I693" s="1" t="s">
        <v>19</v>
      </c>
      <c r="J693" s="1">
        <v>95.25</v>
      </c>
    </row>
    <row r="694" spans="1:10" x14ac:dyDescent="0.2">
      <c r="A694" s="1">
        <v>276</v>
      </c>
      <c r="B694" s="1" t="s">
        <v>382</v>
      </c>
      <c r="C694" s="1" t="s">
        <v>383</v>
      </c>
      <c r="F694" s="1">
        <v>2294375</v>
      </c>
      <c r="H694" s="4">
        <v>44532</v>
      </c>
      <c r="I694" s="1" t="s">
        <v>53</v>
      </c>
      <c r="J694" s="1">
        <v>200</v>
      </c>
    </row>
    <row r="695" spans="1:10" x14ac:dyDescent="0.2">
      <c r="A695" s="1">
        <v>275</v>
      </c>
      <c r="B695" s="1" t="s">
        <v>130</v>
      </c>
      <c r="C695" s="1" t="s">
        <v>131</v>
      </c>
      <c r="E695" s="1" t="s">
        <v>131</v>
      </c>
      <c r="F695" s="1">
        <v>2294769</v>
      </c>
      <c r="H695" s="4">
        <v>44531</v>
      </c>
      <c r="I695" s="1" t="s">
        <v>19</v>
      </c>
      <c r="J695" s="1">
        <v>85.62</v>
      </c>
    </row>
    <row r="696" spans="1:10" x14ac:dyDescent="0.2">
      <c r="A696" s="1">
        <v>275</v>
      </c>
      <c r="B696" s="1" t="s">
        <v>130</v>
      </c>
      <c r="C696" s="1" t="s">
        <v>131</v>
      </c>
      <c r="E696" s="1" t="s">
        <v>131</v>
      </c>
      <c r="F696" s="1">
        <v>2294769</v>
      </c>
      <c r="H696" s="4">
        <v>44531</v>
      </c>
      <c r="I696" s="1" t="s">
        <v>4</v>
      </c>
      <c r="J696" s="1">
        <v>300</v>
      </c>
    </row>
    <row r="697" spans="1:10" x14ac:dyDescent="0.2">
      <c r="A697" s="1">
        <v>273</v>
      </c>
      <c r="B697" s="1" t="s">
        <v>130</v>
      </c>
      <c r="C697" s="1" t="s">
        <v>131</v>
      </c>
      <c r="E697" s="1" t="s">
        <v>131</v>
      </c>
      <c r="F697" s="1">
        <v>2294769</v>
      </c>
      <c r="H697" s="4">
        <v>44529</v>
      </c>
      <c r="I697" s="1" t="s">
        <v>43</v>
      </c>
      <c r="J697" s="1">
        <v>200</v>
      </c>
    </row>
    <row r="698" spans="1:10" x14ac:dyDescent="0.2">
      <c r="A698" s="1">
        <v>273</v>
      </c>
      <c r="B698" s="1" t="s">
        <v>130</v>
      </c>
      <c r="C698" s="1" t="s">
        <v>131</v>
      </c>
      <c r="E698" s="1" t="s">
        <v>131</v>
      </c>
      <c r="F698" s="1">
        <v>2294769</v>
      </c>
      <c r="H698" s="4">
        <v>44529</v>
      </c>
      <c r="I698" s="1" t="s">
        <v>4</v>
      </c>
      <c r="J698" s="1">
        <v>150</v>
      </c>
    </row>
    <row r="699" spans="1:10" x14ac:dyDescent="0.2">
      <c r="A699" s="1">
        <v>272</v>
      </c>
      <c r="B699" s="1" t="s">
        <v>384</v>
      </c>
      <c r="C699" s="1" t="s">
        <v>385</v>
      </c>
      <c r="F699" s="1">
        <v>2294547</v>
      </c>
      <c r="H699" s="4">
        <v>44529</v>
      </c>
      <c r="I699" s="1" t="s">
        <v>1</v>
      </c>
      <c r="J699" s="1">
        <v>50</v>
      </c>
    </row>
    <row r="700" spans="1:10" x14ac:dyDescent="0.2">
      <c r="A700" s="1">
        <v>231</v>
      </c>
      <c r="B700" s="1" t="s">
        <v>144</v>
      </c>
      <c r="C700" s="1" t="s">
        <v>145</v>
      </c>
      <c r="E700" s="1" t="s">
        <v>145</v>
      </c>
      <c r="F700" s="1">
        <v>2294845</v>
      </c>
      <c r="H700" s="4">
        <v>44517</v>
      </c>
      <c r="I700" s="1" t="s">
        <v>1</v>
      </c>
      <c r="J700" s="1">
        <v>150</v>
      </c>
    </row>
    <row r="701" spans="1:10" x14ac:dyDescent="0.2">
      <c r="A701" s="1">
        <v>228</v>
      </c>
      <c r="B701" s="1" t="s">
        <v>292</v>
      </c>
      <c r="C701" s="1" t="s">
        <v>293</v>
      </c>
      <c r="E701" s="1" t="s">
        <v>293</v>
      </c>
      <c r="F701" s="1">
        <v>2293844</v>
      </c>
      <c r="H701" s="4">
        <v>44515</v>
      </c>
      <c r="I701" s="1" t="s">
        <v>25</v>
      </c>
      <c r="J701" s="1">
        <v>300</v>
      </c>
    </row>
    <row r="702" spans="1:10" x14ac:dyDescent="0.2">
      <c r="A702" s="1">
        <v>218</v>
      </c>
      <c r="B702" s="1" t="s">
        <v>119</v>
      </c>
      <c r="C702" s="1" t="s">
        <v>120</v>
      </c>
      <c r="E702" s="1" t="s">
        <v>120</v>
      </c>
      <c r="F702" s="1">
        <v>2294694</v>
      </c>
      <c r="H702" s="4">
        <v>44508</v>
      </c>
      <c r="I702" s="1" t="s">
        <v>18</v>
      </c>
      <c r="J702" s="1">
        <v>300</v>
      </c>
    </row>
    <row r="703" spans="1:10" x14ac:dyDescent="0.2">
      <c r="A703" s="1">
        <v>218</v>
      </c>
      <c r="B703" s="1" t="s">
        <v>119</v>
      </c>
      <c r="C703" s="1" t="s">
        <v>120</v>
      </c>
      <c r="E703" s="1" t="s">
        <v>120</v>
      </c>
      <c r="F703" s="1">
        <v>2294694</v>
      </c>
      <c r="H703" s="4">
        <v>44508</v>
      </c>
      <c r="I703" s="1" t="s">
        <v>25</v>
      </c>
      <c r="J703" s="1">
        <v>50</v>
      </c>
    </row>
    <row r="704" spans="1:10" x14ac:dyDescent="0.2">
      <c r="A704" s="1">
        <v>212</v>
      </c>
      <c r="B704" s="1" t="s">
        <v>349</v>
      </c>
      <c r="C704" s="1" t="s">
        <v>350</v>
      </c>
      <c r="E704" s="1" t="s">
        <v>350</v>
      </c>
      <c r="F704" s="1">
        <v>2294435</v>
      </c>
      <c r="H704" s="4">
        <v>44502</v>
      </c>
      <c r="I704" s="1" t="s">
        <v>1</v>
      </c>
      <c r="J704" s="1">
        <v>125</v>
      </c>
    </row>
    <row r="705" spans="1:10" x14ac:dyDescent="0.2">
      <c r="A705" s="1">
        <v>212</v>
      </c>
      <c r="B705" s="1" t="s">
        <v>349</v>
      </c>
      <c r="C705" s="1" t="s">
        <v>350</v>
      </c>
      <c r="E705" s="1" t="s">
        <v>350</v>
      </c>
      <c r="F705" s="1">
        <v>2294435</v>
      </c>
      <c r="H705" s="4">
        <v>44502</v>
      </c>
      <c r="I705" s="1" t="s">
        <v>41</v>
      </c>
      <c r="J705" s="1">
        <v>50</v>
      </c>
    </row>
    <row r="706" spans="1:10" x14ac:dyDescent="0.2">
      <c r="A706" s="1">
        <v>208</v>
      </c>
      <c r="B706" s="1" t="s">
        <v>386</v>
      </c>
      <c r="C706" s="1" t="s">
        <v>387</v>
      </c>
      <c r="E706" s="1" t="s">
        <v>387</v>
      </c>
      <c r="F706" s="1">
        <v>2294814</v>
      </c>
      <c r="H706" s="4">
        <v>44502</v>
      </c>
      <c r="I706" s="1" t="s">
        <v>4</v>
      </c>
      <c r="J706" s="1">
        <v>300</v>
      </c>
    </row>
    <row r="707" spans="1:10" x14ac:dyDescent="0.2">
      <c r="A707" s="1">
        <v>204</v>
      </c>
      <c r="B707" s="1" t="s">
        <v>161</v>
      </c>
      <c r="C707" s="1" t="s">
        <v>162</v>
      </c>
      <c r="E707" s="1" t="s">
        <v>162</v>
      </c>
      <c r="F707" s="1">
        <v>2294453</v>
      </c>
      <c r="H707" s="4">
        <v>44498</v>
      </c>
      <c r="I707" s="1" t="s">
        <v>9</v>
      </c>
      <c r="J707" s="1">
        <v>100</v>
      </c>
    </row>
    <row r="708" spans="1:10" x14ac:dyDescent="0.2">
      <c r="A708" s="1">
        <v>203</v>
      </c>
      <c r="B708" s="1" t="s">
        <v>210</v>
      </c>
      <c r="C708" s="1" t="s">
        <v>211</v>
      </c>
      <c r="F708" s="1">
        <v>2294366</v>
      </c>
      <c r="H708" s="4">
        <v>44497</v>
      </c>
      <c r="I708" s="1" t="s">
        <v>20</v>
      </c>
      <c r="J708" s="1">
        <v>150</v>
      </c>
    </row>
    <row r="709" spans="1:10" x14ac:dyDescent="0.2">
      <c r="A709" s="1">
        <v>203</v>
      </c>
      <c r="B709" s="1" t="s">
        <v>210</v>
      </c>
      <c r="C709" s="1" t="s">
        <v>211</v>
      </c>
      <c r="F709" s="1">
        <v>2294366</v>
      </c>
      <c r="H709" s="4">
        <v>44497</v>
      </c>
      <c r="I709" s="1" t="s">
        <v>5</v>
      </c>
      <c r="J709" s="1">
        <v>500</v>
      </c>
    </row>
    <row r="710" spans="1:10" x14ac:dyDescent="0.2">
      <c r="A710" s="1">
        <v>203</v>
      </c>
      <c r="B710" s="1" t="s">
        <v>210</v>
      </c>
      <c r="C710" s="1" t="s">
        <v>211</v>
      </c>
      <c r="F710" s="1">
        <v>2294366</v>
      </c>
      <c r="H710" s="4">
        <v>44497</v>
      </c>
      <c r="I710" s="1" t="s">
        <v>28</v>
      </c>
      <c r="J710" s="1">
        <v>500</v>
      </c>
    </row>
    <row r="711" spans="1:10" x14ac:dyDescent="0.2">
      <c r="A711" s="1">
        <v>201</v>
      </c>
      <c r="B711" s="1" t="s">
        <v>334</v>
      </c>
      <c r="C711" s="1" t="s">
        <v>335</v>
      </c>
      <c r="F711" s="1">
        <v>2294487</v>
      </c>
      <c r="H711" s="4">
        <v>44494</v>
      </c>
      <c r="I711" s="1" t="s">
        <v>25</v>
      </c>
      <c r="J711" s="1">
        <v>1250</v>
      </c>
    </row>
    <row r="712" spans="1:10" x14ac:dyDescent="0.2">
      <c r="A712" s="1">
        <v>200</v>
      </c>
      <c r="B712" s="1" t="s">
        <v>334</v>
      </c>
      <c r="C712" s="1" t="s">
        <v>335</v>
      </c>
      <c r="F712" s="1">
        <v>2294487</v>
      </c>
      <c r="H712" s="4">
        <v>44494</v>
      </c>
      <c r="I712" s="1" t="s">
        <v>1</v>
      </c>
      <c r="J712" s="1">
        <v>100</v>
      </c>
    </row>
    <row r="713" spans="1:10" x14ac:dyDescent="0.2">
      <c r="A713" s="1">
        <v>198</v>
      </c>
      <c r="B713" s="1" t="s">
        <v>388</v>
      </c>
      <c r="C713" s="1" t="s">
        <v>389</v>
      </c>
      <c r="E713" s="1" t="s">
        <v>389</v>
      </c>
      <c r="F713" s="1">
        <v>2294456</v>
      </c>
      <c r="H713" s="4">
        <v>44490</v>
      </c>
      <c r="I713" s="1" t="s">
        <v>1</v>
      </c>
      <c r="J713" s="1">
        <v>50</v>
      </c>
    </row>
    <row r="714" spans="1:10" x14ac:dyDescent="0.2">
      <c r="A714" s="1">
        <v>197</v>
      </c>
      <c r="B714" s="1" t="s">
        <v>343</v>
      </c>
      <c r="C714" s="1" t="s">
        <v>344</v>
      </c>
      <c r="F714" s="1">
        <v>2293759</v>
      </c>
      <c r="H714" s="4">
        <v>44488</v>
      </c>
      <c r="I714" s="1" t="s">
        <v>25</v>
      </c>
      <c r="J714" s="1">
        <v>300</v>
      </c>
    </row>
    <row r="715" spans="1:10" x14ac:dyDescent="0.2">
      <c r="A715" s="1">
        <v>196</v>
      </c>
      <c r="B715" s="1" t="s">
        <v>343</v>
      </c>
      <c r="C715" s="1" t="s">
        <v>344</v>
      </c>
      <c r="F715" s="1">
        <v>2293759</v>
      </c>
      <c r="H715" s="4">
        <v>44488</v>
      </c>
      <c r="I715" s="1" t="s">
        <v>1</v>
      </c>
      <c r="J715" s="1">
        <v>300</v>
      </c>
    </row>
    <row r="716" spans="1:10" x14ac:dyDescent="0.2">
      <c r="A716" s="1">
        <v>194</v>
      </c>
      <c r="B716" s="1" t="s">
        <v>320</v>
      </c>
      <c r="C716" s="1" t="s">
        <v>321</v>
      </c>
      <c r="E716" s="1" t="s">
        <v>321</v>
      </c>
      <c r="F716" s="1">
        <v>2294583</v>
      </c>
      <c r="H716" s="4">
        <v>44487</v>
      </c>
      <c r="I716" s="1" t="s">
        <v>25</v>
      </c>
      <c r="J716" s="1">
        <v>50</v>
      </c>
    </row>
    <row r="717" spans="1:10" x14ac:dyDescent="0.2">
      <c r="A717" s="1">
        <v>193</v>
      </c>
      <c r="B717" s="1" t="s">
        <v>361</v>
      </c>
      <c r="C717" s="1" t="s">
        <v>362</v>
      </c>
      <c r="E717" s="1" t="s">
        <v>362</v>
      </c>
      <c r="F717" s="1">
        <v>2294354</v>
      </c>
      <c r="H717" s="4">
        <v>44484</v>
      </c>
      <c r="I717" s="1" t="s">
        <v>4</v>
      </c>
      <c r="J717" s="1">
        <v>300</v>
      </c>
    </row>
    <row r="718" spans="1:10" x14ac:dyDescent="0.2">
      <c r="A718" s="1">
        <v>191</v>
      </c>
      <c r="B718" s="1" t="s">
        <v>361</v>
      </c>
      <c r="C718" s="1" t="s">
        <v>362</v>
      </c>
      <c r="E718" s="1" t="s">
        <v>362</v>
      </c>
      <c r="F718" s="1">
        <v>2294354</v>
      </c>
      <c r="H718" s="4">
        <v>44484</v>
      </c>
      <c r="I718" s="1" t="s">
        <v>25</v>
      </c>
      <c r="J718" s="1">
        <v>50</v>
      </c>
    </row>
    <row r="719" spans="1:10" x14ac:dyDescent="0.2">
      <c r="A719" s="1">
        <v>187</v>
      </c>
      <c r="B719" s="1" t="s">
        <v>390</v>
      </c>
      <c r="C719" s="1" t="s">
        <v>391</v>
      </c>
      <c r="F719" s="1">
        <v>2293930</v>
      </c>
      <c r="H719" s="4">
        <v>44484</v>
      </c>
      <c r="I719" s="1" t="s">
        <v>11</v>
      </c>
      <c r="J719" s="1">
        <v>150</v>
      </c>
    </row>
    <row r="720" spans="1:10" x14ac:dyDescent="0.2">
      <c r="A720" s="1">
        <v>183</v>
      </c>
      <c r="B720" s="1" t="s">
        <v>130</v>
      </c>
      <c r="C720" s="1" t="s">
        <v>131</v>
      </c>
      <c r="E720" s="1" t="s">
        <v>131</v>
      </c>
      <c r="F720" s="1">
        <v>2294769</v>
      </c>
      <c r="H720" s="4">
        <v>44484</v>
      </c>
      <c r="I720" s="1" t="s">
        <v>1</v>
      </c>
      <c r="J720" s="1">
        <v>50</v>
      </c>
    </row>
    <row r="721" spans="1:10" x14ac:dyDescent="0.2">
      <c r="A721" s="1">
        <v>182</v>
      </c>
      <c r="B721" s="1" t="s">
        <v>130</v>
      </c>
      <c r="C721" s="1" t="s">
        <v>131</v>
      </c>
      <c r="E721" s="1" t="s">
        <v>131</v>
      </c>
      <c r="F721" s="1">
        <v>2294769</v>
      </c>
      <c r="H721" s="4">
        <v>44482</v>
      </c>
      <c r="I721" s="1" t="s">
        <v>31</v>
      </c>
      <c r="J721" s="1">
        <v>500</v>
      </c>
    </row>
    <row r="722" spans="1:10" x14ac:dyDescent="0.2">
      <c r="A722" s="1">
        <v>181</v>
      </c>
      <c r="B722" s="1" t="s">
        <v>130</v>
      </c>
      <c r="C722" s="1" t="s">
        <v>131</v>
      </c>
      <c r="E722" s="1" t="s">
        <v>131</v>
      </c>
      <c r="F722" s="1">
        <v>2294769</v>
      </c>
      <c r="H722" s="4">
        <v>44482</v>
      </c>
      <c r="I722" s="1" t="s">
        <v>31</v>
      </c>
      <c r="J722" s="1">
        <v>300</v>
      </c>
    </row>
    <row r="723" spans="1:10" x14ac:dyDescent="0.2">
      <c r="A723" s="1">
        <v>181</v>
      </c>
      <c r="B723" s="1" t="s">
        <v>130</v>
      </c>
      <c r="C723" s="1" t="s">
        <v>131</v>
      </c>
      <c r="E723" s="1" t="s">
        <v>131</v>
      </c>
      <c r="F723" s="1">
        <v>2294769</v>
      </c>
      <c r="H723" s="4">
        <v>44482</v>
      </c>
      <c r="I723" s="1" t="s">
        <v>4</v>
      </c>
      <c r="J723" s="1">
        <v>100</v>
      </c>
    </row>
    <row r="724" spans="1:10" x14ac:dyDescent="0.2">
      <c r="A724" s="1">
        <v>179</v>
      </c>
      <c r="B724" s="1" t="s">
        <v>130</v>
      </c>
      <c r="C724" s="1" t="s">
        <v>131</v>
      </c>
      <c r="E724" s="1" t="s">
        <v>131</v>
      </c>
      <c r="F724" s="1">
        <v>2294769</v>
      </c>
      <c r="H724" s="4">
        <v>44476</v>
      </c>
      <c r="I724" s="1" t="s">
        <v>19</v>
      </c>
      <c r="J724" s="1">
        <v>100</v>
      </c>
    </row>
    <row r="725" spans="1:10" x14ac:dyDescent="0.2">
      <c r="A725" s="1">
        <v>179</v>
      </c>
      <c r="B725" s="1" t="s">
        <v>130</v>
      </c>
      <c r="C725" s="1" t="s">
        <v>131</v>
      </c>
      <c r="E725" s="1" t="s">
        <v>131</v>
      </c>
      <c r="F725" s="1">
        <v>2294769</v>
      </c>
      <c r="H725" s="4">
        <v>44476</v>
      </c>
      <c r="I725" s="1" t="s">
        <v>1</v>
      </c>
      <c r="J725" s="1">
        <v>150</v>
      </c>
    </row>
    <row r="726" spans="1:10" x14ac:dyDescent="0.2">
      <c r="A726" s="1">
        <v>178</v>
      </c>
      <c r="B726" s="1" t="s">
        <v>301</v>
      </c>
      <c r="C726" s="1" t="s">
        <v>302</v>
      </c>
      <c r="E726" s="1" t="s">
        <v>302</v>
      </c>
      <c r="F726" s="1">
        <v>2294766</v>
      </c>
      <c r="H726" s="4">
        <v>44473</v>
      </c>
      <c r="I726" s="1" t="s">
        <v>47</v>
      </c>
      <c r="J726" s="1">
        <v>500</v>
      </c>
    </row>
    <row r="727" spans="1:10" x14ac:dyDescent="0.2">
      <c r="A727" s="1">
        <v>178</v>
      </c>
      <c r="B727" s="1" t="s">
        <v>301</v>
      </c>
      <c r="C727" s="1" t="s">
        <v>302</v>
      </c>
      <c r="E727" s="1" t="s">
        <v>302</v>
      </c>
      <c r="F727" s="1">
        <v>2294766</v>
      </c>
      <c r="H727" s="4">
        <v>44473</v>
      </c>
      <c r="I727" s="1" t="s">
        <v>66</v>
      </c>
      <c r="J727" s="1">
        <v>99999.99</v>
      </c>
    </row>
    <row r="728" spans="1:10" x14ac:dyDescent="0.2">
      <c r="A728" s="1">
        <v>178</v>
      </c>
      <c r="B728" s="1" t="s">
        <v>301</v>
      </c>
      <c r="C728" s="1" t="s">
        <v>302</v>
      </c>
      <c r="E728" s="1" t="s">
        <v>302</v>
      </c>
      <c r="F728" s="1">
        <v>2294766</v>
      </c>
      <c r="H728" s="4">
        <v>44473</v>
      </c>
      <c r="I728" s="1" t="s">
        <v>76</v>
      </c>
      <c r="J728" s="1">
        <v>75</v>
      </c>
    </row>
    <row r="729" spans="1:10" x14ac:dyDescent="0.2">
      <c r="A729" s="1">
        <v>178</v>
      </c>
      <c r="B729" s="1" t="s">
        <v>301</v>
      </c>
      <c r="C729" s="1" t="s">
        <v>302</v>
      </c>
      <c r="E729" s="1" t="s">
        <v>302</v>
      </c>
      <c r="F729" s="1">
        <v>2294766</v>
      </c>
      <c r="H729" s="4">
        <v>44473</v>
      </c>
      <c r="I729" s="1" t="s">
        <v>18</v>
      </c>
      <c r="J729" s="1">
        <v>125</v>
      </c>
    </row>
    <row r="730" spans="1:10" x14ac:dyDescent="0.2">
      <c r="A730" s="1">
        <v>175</v>
      </c>
      <c r="B730" s="1" t="s">
        <v>392</v>
      </c>
      <c r="C730" s="1" t="s">
        <v>393</v>
      </c>
      <c r="F730" s="1">
        <v>2293733</v>
      </c>
      <c r="H730" s="4">
        <v>44470</v>
      </c>
      <c r="I730" s="1" t="s">
        <v>1</v>
      </c>
      <c r="J730" s="1">
        <v>100</v>
      </c>
    </row>
    <row r="731" spans="1:10" x14ac:dyDescent="0.2">
      <c r="A731" s="1">
        <v>175</v>
      </c>
      <c r="B731" s="1" t="s">
        <v>392</v>
      </c>
      <c r="C731" s="1" t="s">
        <v>393</v>
      </c>
      <c r="F731" s="1">
        <v>2293733</v>
      </c>
      <c r="H731" s="4">
        <v>44470</v>
      </c>
      <c r="I731" s="1" t="s">
        <v>19</v>
      </c>
      <c r="J731" s="1">
        <v>320</v>
      </c>
    </row>
    <row r="732" spans="1:10" x14ac:dyDescent="0.2">
      <c r="A732" s="1">
        <v>175</v>
      </c>
      <c r="B732" s="1" t="s">
        <v>392</v>
      </c>
      <c r="C732" s="1" t="s">
        <v>393</v>
      </c>
      <c r="F732" s="1">
        <v>2293733</v>
      </c>
      <c r="H732" s="4">
        <v>44470</v>
      </c>
      <c r="I732" s="1" t="s">
        <v>41</v>
      </c>
      <c r="J732" s="1">
        <v>160</v>
      </c>
    </row>
    <row r="733" spans="1:10" x14ac:dyDescent="0.2">
      <c r="A733" s="1">
        <v>173</v>
      </c>
      <c r="B733" s="1" t="s">
        <v>394</v>
      </c>
      <c r="C733" s="1" t="s">
        <v>395</v>
      </c>
      <c r="F733" s="1">
        <v>2294601</v>
      </c>
      <c r="H733" s="4">
        <v>44397</v>
      </c>
      <c r="I733" s="1" t="s">
        <v>1</v>
      </c>
      <c r="J733" s="1">
        <v>160</v>
      </c>
    </row>
    <row r="734" spans="1:10" x14ac:dyDescent="0.2">
      <c r="A734" s="1">
        <v>173</v>
      </c>
      <c r="B734" s="1" t="s">
        <v>394</v>
      </c>
      <c r="C734" s="1" t="s">
        <v>395</v>
      </c>
      <c r="F734" s="1">
        <v>2294601</v>
      </c>
      <c r="H734" s="4">
        <v>44349</v>
      </c>
      <c r="I734" s="1" t="s">
        <v>19</v>
      </c>
      <c r="J734" s="1">
        <v>500</v>
      </c>
    </row>
    <row r="735" spans="1:10" x14ac:dyDescent="0.2">
      <c r="A735" s="1">
        <v>173</v>
      </c>
      <c r="B735" s="1" t="s">
        <v>394</v>
      </c>
      <c r="C735" s="1" t="s">
        <v>395</v>
      </c>
      <c r="F735" s="1">
        <v>2294601</v>
      </c>
      <c r="H735" s="4">
        <v>44349</v>
      </c>
      <c r="I735" s="1" t="s">
        <v>19</v>
      </c>
      <c r="J735" s="1">
        <v>500</v>
      </c>
    </row>
    <row r="736" spans="1:10" x14ac:dyDescent="0.2">
      <c r="A736" s="1">
        <v>172</v>
      </c>
      <c r="B736" s="1" t="s">
        <v>396</v>
      </c>
      <c r="C736" s="1" t="s">
        <v>397</v>
      </c>
      <c r="F736" s="1">
        <v>2294348</v>
      </c>
      <c r="H736" s="4">
        <v>44470</v>
      </c>
      <c r="I736" s="1" t="s">
        <v>70</v>
      </c>
      <c r="J736" s="1">
        <v>500</v>
      </c>
    </row>
    <row r="737" spans="1:10" x14ac:dyDescent="0.2">
      <c r="A737" s="1">
        <v>172</v>
      </c>
      <c r="B737" s="1" t="s">
        <v>396</v>
      </c>
      <c r="C737" s="1" t="s">
        <v>397</v>
      </c>
      <c r="F737" s="1">
        <v>2294348</v>
      </c>
      <c r="H737" s="4">
        <v>44470</v>
      </c>
      <c r="I737" s="1" t="s">
        <v>71</v>
      </c>
      <c r="J737" s="1">
        <v>5000</v>
      </c>
    </row>
    <row r="738" spans="1:10" x14ac:dyDescent="0.2">
      <c r="A738" s="1">
        <v>172</v>
      </c>
      <c r="B738" s="1" t="s">
        <v>396</v>
      </c>
      <c r="C738" s="1" t="s">
        <v>397</v>
      </c>
      <c r="F738" s="1">
        <v>2294348</v>
      </c>
      <c r="H738" s="4">
        <v>44470</v>
      </c>
      <c r="I738" s="1" t="s">
        <v>18</v>
      </c>
      <c r="J738" s="1">
        <v>125</v>
      </c>
    </row>
    <row r="739" spans="1:10" x14ac:dyDescent="0.2">
      <c r="A739" s="1">
        <v>171</v>
      </c>
      <c r="B739" s="1" t="s">
        <v>398</v>
      </c>
      <c r="C739" s="1" t="s">
        <v>399</v>
      </c>
      <c r="F739" s="1">
        <v>2294573</v>
      </c>
      <c r="H739" s="4">
        <v>44470</v>
      </c>
      <c r="I739" s="1" t="s">
        <v>30</v>
      </c>
      <c r="J739" s="1">
        <v>25</v>
      </c>
    </row>
    <row r="740" spans="1:10" x14ac:dyDescent="0.2">
      <c r="A740" s="1">
        <v>168</v>
      </c>
      <c r="B740" s="1" t="s">
        <v>400</v>
      </c>
      <c r="C740" s="1" t="s">
        <v>401</v>
      </c>
      <c r="E740" s="1" t="s">
        <v>401</v>
      </c>
      <c r="F740" s="1">
        <v>2293886</v>
      </c>
      <c r="H740" s="4">
        <v>44456</v>
      </c>
      <c r="I740" s="1" t="s">
        <v>53</v>
      </c>
      <c r="J740" s="1">
        <v>300</v>
      </c>
    </row>
    <row r="741" spans="1:10" x14ac:dyDescent="0.2">
      <c r="A741" s="1">
        <v>167</v>
      </c>
      <c r="B741" s="1" t="s">
        <v>317</v>
      </c>
      <c r="C741" s="1" t="s">
        <v>109</v>
      </c>
      <c r="E741" s="1" t="s">
        <v>109</v>
      </c>
      <c r="F741" s="1">
        <v>2294455</v>
      </c>
      <c r="H741" s="4">
        <v>44468</v>
      </c>
      <c r="I741" s="1" t="s">
        <v>20</v>
      </c>
      <c r="J741" s="1">
        <v>100</v>
      </c>
    </row>
    <row r="742" spans="1:10" x14ac:dyDescent="0.2">
      <c r="A742" s="1">
        <v>167</v>
      </c>
      <c r="B742" s="1" t="s">
        <v>317</v>
      </c>
      <c r="C742" s="1" t="s">
        <v>109</v>
      </c>
      <c r="E742" s="1" t="s">
        <v>109</v>
      </c>
      <c r="F742" s="1">
        <v>2294455</v>
      </c>
      <c r="H742" s="4">
        <v>44468</v>
      </c>
      <c r="I742" s="1" t="s">
        <v>28</v>
      </c>
      <c r="J742" s="1">
        <v>95.25</v>
      </c>
    </row>
    <row r="743" spans="1:10" x14ac:dyDescent="0.2">
      <c r="A743" s="1">
        <v>167</v>
      </c>
      <c r="B743" s="1" t="s">
        <v>317</v>
      </c>
      <c r="C743" s="1" t="s">
        <v>109</v>
      </c>
      <c r="E743" s="1" t="s">
        <v>109</v>
      </c>
      <c r="F743" s="1">
        <v>2294455</v>
      </c>
      <c r="H743" s="4">
        <v>44468</v>
      </c>
      <c r="I743" s="1" t="s">
        <v>5</v>
      </c>
      <c r="J743" s="1">
        <v>500</v>
      </c>
    </row>
    <row r="744" spans="1:10" x14ac:dyDescent="0.2">
      <c r="A744" s="1">
        <v>166</v>
      </c>
      <c r="B744" s="1" t="s">
        <v>317</v>
      </c>
      <c r="C744" s="1" t="s">
        <v>109</v>
      </c>
      <c r="E744" s="1" t="s">
        <v>109</v>
      </c>
      <c r="F744" s="1">
        <v>2294455</v>
      </c>
      <c r="H744" s="4">
        <v>44468</v>
      </c>
      <c r="I744" s="1" t="s">
        <v>85</v>
      </c>
      <c r="J744" s="1">
        <v>1250</v>
      </c>
    </row>
    <row r="745" spans="1:10" x14ac:dyDescent="0.2">
      <c r="A745" s="1">
        <v>165</v>
      </c>
      <c r="B745" s="1" t="s">
        <v>193</v>
      </c>
      <c r="C745" s="1" t="s">
        <v>194</v>
      </c>
      <c r="E745" s="1" t="s">
        <v>194</v>
      </c>
      <c r="F745" s="1">
        <v>2294175</v>
      </c>
      <c r="H745" s="4">
        <v>44466</v>
      </c>
      <c r="I745" s="1" t="s">
        <v>47</v>
      </c>
      <c r="J745" s="1">
        <v>100</v>
      </c>
    </row>
    <row r="746" spans="1:10" x14ac:dyDescent="0.2">
      <c r="A746" s="1">
        <v>164</v>
      </c>
      <c r="B746" s="1" t="s">
        <v>402</v>
      </c>
      <c r="C746" s="1" t="s">
        <v>403</v>
      </c>
      <c r="E746" s="1" t="s">
        <v>403</v>
      </c>
      <c r="F746" s="1">
        <v>2294736</v>
      </c>
      <c r="H746" s="4">
        <v>44461</v>
      </c>
      <c r="I746" s="1" t="s">
        <v>69</v>
      </c>
      <c r="J746" s="1">
        <v>20</v>
      </c>
    </row>
    <row r="747" spans="1:10" x14ac:dyDescent="0.2">
      <c r="A747" s="1">
        <v>163</v>
      </c>
      <c r="B747" s="1" t="s">
        <v>365</v>
      </c>
      <c r="C747" s="1" t="s">
        <v>366</v>
      </c>
      <c r="F747" s="1">
        <v>2294393</v>
      </c>
      <c r="H747" s="4">
        <v>44461</v>
      </c>
      <c r="I747" s="1" t="s">
        <v>21</v>
      </c>
      <c r="J747" s="1">
        <v>320</v>
      </c>
    </row>
    <row r="748" spans="1:10" x14ac:dyDescent="0.2">
      <c r="A748" s="1">
        <v>163</v>
      </c>
      <c r="B748" s="1" t="s">
        <v>365</v>
      </c>
      <c r="C748" s="1" t="s">
        <v>366</v>
      </c>
      <c r="F748" s="1">
        <v>2294393</v>
      </c>
      <c r="H748" s="4">
        <v>44461</v>
      </c>
      <c r="I748" s="1" t="s">
        <v>34</v>
      </c>
      <c r="J748" s="1">
        <v>1</v>
      </c>
    </row>
    <row r="749" spans="1:10" x14ac:dyDescent="0.2">
      <c r="A749" s="1">
        <v>155</v>
      </c>
      <c r="B749" s="1" t="s">
        <v>380</v>
      </c>
      <c r="C749" s="1" t="s">
        <v>381</v>
      </c>
      <c r="F749" s="1">
        <v>2294382</v>
      </c>
      <c r="H749" s="4">
        <v>44442</v>
      </c>
      <c r="I749" s="1" t="s">
        <v>19</v>
      </c>
      <c r="J749" s="1">
        <v>464</v>
      </c>
    </row>
    <row r="750" spans="1:10" x14ac:dyDescent="0.2">
      <c r="A750" s="1">
        <v>154</v>
      </c>
      <c r="B750" s="1" t="s">
        <v>404</v>
      </c>
      <c r="C750" s="1" t="s">
        <v>405</v>
      </c>
      <c r="E750" s="1" t="s">
        <v>405</v>
      </c>
      <c r="F750" s="1">
        <v>2294735</v>
      </c>
      <c r="H750" s="4">
        <v>44439</v>
      </c>
      <c r="I750" s="1" t="s">
        <v>26</v>
      </c>
      <c r="J750" s="1">
        <v>462.3</v>
      </c>
    </row>
    <row r="751" spans="1:10" x14ac:dyDescent="0.2">
      <c r="A751" s="1">
        <v>153</v>
      </c>
      <c r="B751" s="1" t="s">
        <v>108</v>
      </c>
      <c r="C751" s="1" t="s">
        <v>277</v>
      </c>
      <c r="F751" s="1">
        <v>2293848</v>
      </c>
      <c r="H751" s="4">
        <v>44438</v>
      </c>
      <c r="I751" s="1" t="s">
        <v>28</v>
      </c>
      <c r="J751" s="1">
        <v>500</v>
      </c>
    </row>
    <row r="752" spans="1:10" x14ac:dyDescent="0.2">
      <c r="A752" s="1">
        <v>153</v>
      </c>
      <c r="B752" s="1" t="s">
        <v>108</v>
      </c>
      <c r="C752" s="1" t="s">
        <v>277</v>
      </c>
      <c r="F752" s="1">
        <v>2293848</v>
      </c>
      <c r="H752" s="4">
        <v>44438</v>
      </c>
      <c r="I752" s="1" t="s">
        <v>5</v>
      </c>
      <c r="J752" s="1">
        <v>500</v>
      </c>
    </row>
    <row r="753" spans="1:10" x14ac:dyDescent="0.2">
      <c r="A753" s="1">
        <v>153</v>
      </c>
      <c r="B753" s="1" t="s">
        <v>108</v>
      </c>
      <c r="C753" s="1" t="s">
        <v>277</v>
      </c>
      <c r="F753" s="1">
        <v>2293848</v>
      </c>
      <c r="H753" s="4">
        <v>44438</v>
      </c>
      <c r="I753" s="1" t="s">
        <v>20</v>
      </c>
      <c r="J753" s="1">
        <v>500</v>
      </c>
    </row>
    <row r="754" spans="1:10" x14ac:dyDescent="0.2">
      <c r="A754" s="1">
        <v>118</v>
      </c>
      <c r="B754" s="1" t="s">
        <v>406</v>
      </c>
      <c r="C754" s="1" t="s">
        <v>407</v>
      </c>
      <c r="E754" s="1" t="s">
        <v>407</v>
      </c>
      <c r="F754" s="1">
        <v>2293979</v>
      </c>
      <c r="H754" s="4">
        <v>44431</v>
      </c>
      <c r="I754" s="1" t="s">
        <v>25</v>
      </c>
      <c r="J754" s="1">
        <v>100</v>
      </c>
    </row>
    <row r="755" spans="1:10" x14ac:dyDescent="0.2">
      <c r="A755" s="1">
        <v>84</v>
      </c>
      <c r="B755" s="1" t="s">
        <v>408</v>
      </c>
      <c r="C755" s="1" t="s">
        <v>409</v>
      </c>
      <c r="E755" s="1" t="s">
        <v>409</v>
      </c>
      <c r="F755" s="1">
        <v>2294660</v>
      </c>
      <c r="H755" s="4">
        <v>44427</v>
      </c>
      <c r="I755" s="1" t="s">
        <v>20</v>
      </c>
      <c r="J755" s="1">
        <v>1250</v>
      </c>
    </row>
    <row r="756" spans="1:10" x14ac:dyDescent="0.2">
      <c r="A756" s="1">
        <v>84</v>
      </c>
      <c r="B756" s="1" t="s">
        <v>408</v>
      </c>
      <c r="C756" s="1" t="s">
        <v>409</v>
      </c>
      <c r="E756" s="1" t="s">
        <v>409</v>
      </c>
      <c r="F756" s="1">
        <v>2294660</v>
      </c>
      <c r="H756" s="4">
        <v>44427</v>
      </c>
      <c r="I756" s="1" t="s">
        <v>28</v>
      </c>
      <c r="J756" s="1">
        <v>50</v>
      </c>
    </row>
    <row r="757" spans="1:10" x14ac:dyDescent="0.2">
      <c r="A757" s="1">
        <v>84</v>
      </c>
      <c r="B757" s="1" t="s">
        <v>408</v>
      </c>
      <c r="C757" s="1" t="s">
        <v>409</v>
      </c>
      <c r="E757" s="1" t="s">
        <v>409</v>
      </c>
      <c r="F757" s="1">
        <v>2294660</v>
      </c>
      <c r="H757" s="4">
        <v>44427</v>
      </c>
      <c r="I757" s="1" t="s">
        <v>5</v>
      </c>
      <c r="J757" s="1">
        <v>1250</v>
      </c>
    </row>
    <row r="758" spans="1:10" x14ac:dyDescent="0.2">
      <c r="A758" s="1">
        <v>83</v>
      </c>
      <c r="B758" s="1" t="s">
        <v>408</v>
      </c>
      <c r="C758" s="1" t="s">
        <v>409</v>
      </c>
      <c r="E758" s="1" t="s">
        <v>409</v>
      </c>
      <c r="F758" s="1">
        <v>2294660</v>
      </c>
      <c r="H758" s="4">
        <v>44427</v>
      </c>
      <c r="I758" s="1" t="s">
        <v>28</v>
      </c>
      <c r="J758" s="1">
        <v>500</v>
      </c>
    </row>
    <row r="759" spans="1:10" x14ac:dyDescent="0.2">
      <c r="A759" s="1">
        <v>80</v>
      </c>
      <c r="B759" s="1" t="s">
        <v>108</v>
      </c>
      <c r="C759" s="1" t="s">
        <v>109</v>
      </c>
      <c r="F759" s="1">
        <v>2294455</v>
      </c>
      <c r="H759" s="4">
        <v>44424</v>
      </c>
      <c r="I759" s="1" t="s">
        <v>28</v>
      </c>
      <c r="J759" s="1">
        <v>100</v>
      </c>
    </row>
    <row r="760" spans="1:10" x14ac:dyDescent="0.2">
      <c r="A760" s="1">
        <v>78</v>
      </c>
      <c r="B760" s="1" t="s">
        <v>8</v>
      </c>
      <c r="C760" s="1" t="s">
        <v>410</v>
      </c>
      <c r="F760" s="1">
        <v>2293993</v>
      </c>
      <c r="H760" s="4">
        <v>44419</v>
      </c>
      <c r="I760" s="1" t="s">
        <v>25</v>
      </c>
      <c r="J760" s="1">
        <v>500</v>
      </c>
    </row>
    <row r="761" spans="1:10" x14ac:dyDescent="0.2">
      <c r="A761" s="1">
        <v>77</v>
      </c>
      <c r="B761" s="1" t="s">
        <v>290</v>
      </c>
      <c r="C761" s="1" t="s">
        <v>291</v>
      </c>
      <c r="F761" s="1">
        <v>2294003</v>
      </c>
      <c r="H761" s="4">
        <v>44418</v>
      </c>
      <c r="I761" s="1" t="s">
        <v>25</v>
      </c>
      <c r="J761" s="1">
        <v>500</v>
      </c>
    </row>
    <row r="762" spans="1:10" x14ac:dyDescent="0.2">
      <c r="A762" s="1">
        <v>72</v>
      </c>
      <c r="B762" s="1" t="s">
        <v>159</v>
      </c>
      <c r="C762" s="1" t="s">
        <v>160</v>
      </c>
      <c r="F762" s="1">
        <v>2294546</v>
      </c>
      <c r="H762" s="4">
        <v>44305</v>
      </c>
      <c r="I762" s="1" t="s">
        <v>56</v>
      </c>
      <c r="J762" s="1">
        <v>50</v>
      </c>
    </row>
    <row r="763" spans="1:10" x14ac:dyDescent="0.2">
      <c r="A763" s="1">
        <v>72</v>
      </c>
      <c r="B763" s="1" t="s">
        <v>159</v>
      </c>
      <c r="C763" s="1" t="s">
        <v>160</v>
      </c>
      <c r="F763" s="1">
        <v>2294546</v>
      </c>
      <c r="H763" s="4">
        <v>44280</v>
      </c>
      <c r="I763" s="1" t="s">
        <v>53</v>
      </c>
      <c r="J763" s="1">
        <v>50</v>
      </c>
    </row>
    <row r="764" spans="1:10" x14ac:dyDescent="0.2">
      <c r="A764" s="1">
        <v>71</v>
      </c>
      <c r="B764" s="1" t="s">
        <v>411</v>
      </c>
      <c r="C764" s="1" t="s">
        <v>412</v>
      </c>
      <c r="F764" s="1">
        <v>2293849</v>
      </c>
      <c r="H764" s="4">
        <v>44377</v>
      </c>
      <c r="I764" s="1" t="s">
        <v>33</v>
      </c>
      <c r="J764" s="1">
        <v>700</v>
      </c>
    </row>
    <row r="765" spans="1:10" x14ac:dyDescent="0.2">
      <c r="A765" s="1">
        <v>69</v>
      </c>
      <c r="B765" s="1" t="s">
        <v>161</v>
      </c>
      <c r="C765" s="1" t="s">
        <v>162</v>
      </c>
      <c r="E765" s="1" t="s">
        <v>162</v>
      </c>
      <c r="F765" s="1">
        <v>2294453</v>
      </c>
      <c r="H765" s="4">
        <v>44377</v>
      </c>
      <c r="I765" s="1" t="s">
        <v>26</v>
      </c>
      <c r="J765" s="1">
        <v>95.25</v>
      </c>
    </row>
    <row r="766" spans="1:10" x14ac:dyDescent="0.2">
      <c r="A766" s="1">
        <v>68</v>
      </c>
      <c r="B766" s="1" t="s">
        <v>318</v>
      </c>
      <c r="C766" s="1" t="s">
        <v>319</v>
      </c>
      <c r="F766" s="1">
        <v>2294599</v>
      </c>
      <c r="H766" s="4">
        <v>44371</v>
      </c>
      <c r="I766" s="1" t="s">
        <v>21</v>
      </c>
      <c r="J766" s="1">
        <v>100</v>
      </c>
    </row>
    <row r="767" spans="1:10" x14ac:dyDescent="0.2">
      <c r="A767" s="1">
        <v>67</v>
      </c>
      <c r="B767" s="1" t="s">
        <v>400</v>
      </c>
      <c r="C767" s="1" t="s">
        <v>401</v>
      </c>
      <c r="F767" s="1">
        <v>2293886</v>
      </c>
      <c r="H767" s="4">
        <v>44371</v>
      </c>
      <c r="I767" s="1" t="s">
        <v>70</v>
      </c>
      <c r="J767" s="1">
        <v>500</v>
      </c>
    </row>
    <row r="768" spans="1:10" x14ac:dyDescent="0.2">
      <c r="A768" s="1">
        <v>67</v>
      </c>
      <c r="B768" s="1" t="s">
        <v>400</v>
      </c>
      <c r="C768" s="1" t="s">
        <v>401</v>
      </c>
      <c r="F768" s="1">
        <v>2293886</v>
      </c>
      <c r="H768" s="4">
        <v>44371</v>
      </c>
      <c r="I768" s="1" t="s">
        <v>80</v>
      </c>
      <c r="J768" s="1">
        <v>58</v>
      </c>
    </row>
    <row r="769" spans="1:10" x14ac:dyDescent="0.2">
      <c r="A769" s="1">
        <v>67</v>
      </c>
      <c r="B769" s="1" t="s">
        <v>400</v>
      </c>
      <c r="C769" s="1" t="s">
        <v>401</v>
      </c>
      <c r="F769" s="1">
        <v>2293886</v>
      </c>
      <c r="H769" s="4">
        <v>44371</v>
      </c>
      <c r="I769" s="1" t="s">
        <v>35</v>
      </c>
      <c r="J769" s="1">
        <v>300</v>
      </c>
    </row>
    <row r="770" spans="1:10" x14ac:dyDescent="0.2">
      <c r="A770" s="1">
        <v>67</v>
      </c>
      <c r="B770" s="1" t="s">
        <v>400</v>
      </c>
      <c r="C770" s="1" t="s">
        <v>401</v>
      </c>
      <c r="F770" s="1">
        <v>2293886</v>
      </c>
      <c r="H770" s="4">
        <v>44371</v>
      </c>
      <c r="I770" s="1" t="s">
        <v>19</v>
      </c>
      <c r="J770" s="1">
        <v>99999.99</v>
      </c>
    </row>
    <row r="771" spans="1:10" x14ac:dyDescent="0.2">
      <c r="A771" s="1">
        <v>67</v>
      </c>
      <c r="B771" s="1" t="s">
        <v>400</v>
      </c>
      <c r="C771" s="1" t="s">
        <v>401</v>
      </c>
      <c r="F771" s="1">
        <v>2293886</v>
      </c>
      <c r="H771" s="4">
        <v>44371</v>
      </c>
      <c r="I771" s="1" t="s">
        <v>1</v>
      </c>
      <c r="J771" s="1">
        <v>10</v>
      </c>
    </row>
    <row r="772" spans="1:10" x14ac:dyDescent="0.2">
      <c r="A772" s="1">
        <v>67</v>
      </c>
      <c r="B772" s="1" t="s">
        <v>400</v>
      </c>
      <c r="C772" s="1" t="s">
        <v>401</v>
      </c>
      <c r="F772" s="1">
        <v>2293886</v>
      </c>
      <c r="H772" s="4">
        <v>44371</v>
      </c>
      <c r="I772" s="1" t="s">
        <v>41</v>
      </c>
      <c r="J772" s="1">
        <v>150</v>
      </c>
    </row>
    <row r="773" spans="1:10" x14ac:dyDescent="0.2">
      <c r="A773" s="1">
        <v>65</v>
      </c>
      <c r="B773" s="1" t="s">
        <v>413</v>
      </c>
      <c r="C773" s="1" t="s">
        <v>414</v>
      </c>
      <c r="F773" s="1">
        <v>2294574</v>
      </c>
      <c r="H773" s="4">
        <v>44363</v>
      </c>
      <c r="I773" s="1" t="s">
        <v>74</v>
      </c>
      <c r="J773" s="1">
        <v>200</v>
      </c>
    </row>
    <row r="774" spans="1:10" x14ac:dyDescent="0.2">
      <c r="A774" s="1">
        <v>63</v>
      </c>
      <c r="B774" s="1" t="s">
        <v>365</v>
      </c>
      <c r="C774" s="1" t="s">
        <v>366</v>
      </c>
      <c r="E774" s="1" t="s">
        <v>415</v>
      </c>
      <c r="F774" s="1">
        <v>2294393</v>
      </c>
      <c r="H774" s="4">
        <v>44362</v>
      </c>
      <c r="I774" s="1" t="s">
        <v>22</v>
      </c>
      <c r="J774" s="1">
        <v>500</v>
      </c>
    </row>
    <row r="775" spans="1:10" x14ac:dyDescent="0.2">
      <c r="A775" s="1">
        <v>58</v>
      </c>
      <c r="B775" s="1" t="s">
        <v>416</v>
      </c>
      <c r="C775" s="1" t="s">
        <v>417</v>
      </c>
      <c r="F775" s="1">
        <v>2294335</v>
      </c>
      <c r="H775" s="4">
        <v>44340</v>
      </c>
      <c r="I775" s="1" t="s">
        <v>33</v>
      </c>
      <c r="J775" s="1">
        <v>10</v>
      </c>
    </row>
    <row r="776" spans="1:10" x14ac:dyDescent="0.2">
      <c r="A776" s="1">
        <v>58</v>
      </c>
      <c r="B776" s="1" t="s">
        <v>416</v>
      </c>
      <c r="C776" s="1" t="s">
        <v>417</v>
      </c>
      <c r="F776" s="1">
        <v>2294335</v>
      </c>
      <c r="H776" s="4">
        <v>44340</v>
      </c>
      <c r="I776" s="1" t="s">
        <v>30</v>
      </c>
      <c r="J776" s="1">
        <v>260</v>
      </c>
    </row>
    <row r="777" spans="1:10" x14ac:dyDescent="0.2">
      <c r="A777" s="1">
        <v>56</v>
      </c>
      <c r="B777" s="1" t="s">
        <v>418</v>
      </c>
      <c r="C777" s="1" t="s">
        <v>419</v>
      </c>
      <c r="F777" s="1">
        <v>2294372</v>
      </c>
      <c r="H777" s="4">
        <v>44340</v>
      </c>
      <c r="I777" s="1" t="s">
        <v>10</v>
      </c>
      <c r="J777" s="1">
        <v>100</v>
      </c>
    </row>
    <row r="778" spans="1:10" x14ac:dyDescent="0.2">
      <c r="A778" s="1">
        <v>55</v>
      </c>
      <c r="B778" s="1" t="s">
        <v>400</v>
      </c>
      <c r="C778" s="1" t="s">
        <v>401</v>
      </c>
      <c r="F778" s="1">
        <v>2293886</v>
      </c>
      <c r="H778" s="4">
        <v>44329</v>
      </c>
      <c r="I778" s="1" t="s">
        <v>47</v>
      </c>
      <c r="J778" s="1">
        <v>100</v>
      </c>
    </row>
    <row r="779" spans="1:10" x14ac:dyDescent="0.2">
      <c r="A779" s="1">
        <v>55</v>
      </c>
      <c r="B779" s="1" t="s">
        <v>400</v>
      </c>
      <c r="C779" s="1" t="s">
        <v>401</v>
      </c>
      <c r="F779" s="1">
        <v>2293886</v>
      </c>
      <c r="H779" s="4">
        <v>44329</v>
      </c>
      <c r="I779" s="1" t="s">
        <v>24</v>
      </c>
      <c r="J779" s="1">
        <v>160</v>
      </c>
    </row>
    <row r="780" spans="1:10" x14ac:dyDescent="0.2">
      <c r="A780" s="1">
        <v>55</v>
      </c>
      <c r="B780" s="1" t="s">
        <v>400</v>
      </c>
      <c r="C780" s="1" t="s">
        <v>401</v>
      </c>
      <c r="F780" s="1">
        <v>2293886</v>
      </c>
      <c r="H780" s="4">
        <v>44329</v>
      </c>
      <c r="I780" s="1" t="s">
        <v>79</v>
      </c>
      <c r="J780" s="1">
        <v>320</v>
      </c>
    </row>
    <row r="781" spans="1:10" x14ac:dyDescent="0.2">
      <c r="A781" s="1">
        <v>52</v>
      </c>
      <c r="B781" s="1" t="s">
        <v>420</v>
      </c>
      <c r="C781" s="1" t="s">
        <v>366</v>
      </c>
      <c r="F781" s="1">
        <v>2294393</v>
      </c>
      <c r="H781" s="4">
        <v>44327</v>
      </c>
      <c r="I781" s="1" t="s">
        <v>47</v>
      </c>
      <c r="J781" s="1">
        <v>10</v>
      </c>
    </row>
    <row r="782" spans="1:10" x14ac:dyDescent="0.2">
      <c r="A782" s="1">
        <v>49</v>
      </c>
      <c r="B782" s="1" t="s">
        <v>421</v>
      </c>
      <c r="C782" s="1" t="s">
        <v>422</v>
      </c>
      <c r="E782" s="1" t="s">
        <v>422</v>
      </c>
      <c r="F782" s="1">
        <v>2294477</v>
      </c>
      <c r="H782" s="4">
        <v>44320</v>
      </c>
      <c r="I782" s="1" t="s">
        <v>1</v>
      </c>
      <c r="J782" s="1">
        <v>3200</v>
      </c>
    </row>
    <row r="783" spans="1:10" x14ac:dyDescent="0.2">
      <c r="A783" s="1">
        <v>49</v>
      </c>
      <c r="B783" s="1" t="s">
        <v>421</v>
      </c>
      <c r="C783" s="1" t="s">
        <v>422</v>
      </c>
      <c r="E783" s="1" t="s">
        <v>422</v>
      </c>
      <c r="F783" s="1">
        <v>2294477</v>
      </c>
      <c r="H783" s="4">
        <v>44320</v>
      </c>
      <c r="I783" s="1" t="s">
        <v>1</v>
      </c>
      <c r="J783" s="1">
        <v>320</v>
      </c>
    </row>
    <row r="784" spans="1:10" x14ac:dyDescent="0.2">
      <c r="A784" s="1">
        <v>48</v>
      </c>
      <c r="B784" s="1" t="s">
        <v>318</v>
      </c>
      <c r="C784" s="1" t="s">
        <v>319</v>
      </c>
      <c r="F784" s="1">
        <v>2294599</v>
      </c>
      <c r="H784" s="4">
        <v>44320</v>
      </c>
      <c r="I784" s="1" t="s">
        <v>47</v>
      </c>
      <c r="J784" s="1">
        <v>2100</v>
      </c>
    </row>
    <row r="785" spans="1:10" x14ac:dyDescent="0.2">
      <c r="A785" s="1">
        <v>46</v>
      </c>
      <c r="B785" s="1" t="s">
        <v>292</v>
      </c>
      <c r="C785" s="1" t="s">
        <v>293</v>
      </c>
      <c r="E785" s="1" t="s">
        <v>293</v>
      </c>
      <c r="F785" s="1">
        <v>2293844</v>
      </c>
      <c r="H785" s="4">
        <v>44309</v>
      </c>
      <c r="I785" s="1" t="s">
        <v>30</v>
      </c>
      <c r="J785" s="1">
        <v>700</v>
      </c>
    </row>
    <row r="786" spans="1:10" x14ac:dyDescent="0.2">
      <c r="A786" s="1">
        <v>45</v>
      </c>
      <c r="B786" s="1" t="s">
        <v>292</v>
      </c>
      <c r="C786" s="1" t="s">
        <v>293</v>
      </c>
      <c r="E786" s="1" t="s">
        <v>293</v>
      </c>
      <c r="F786" s="1">
        <v>2293844</v>
      </c>
      <c r="H786" s="4">
        <v>44309</v>
      </c>
      <c r="I786" s="1" t="s">
        <v>35</v>
      </c>
      <c r="J786" s="1">
        <v>320</v>
      </c>
    </row>
    <row r="787" spans="1:10" x14ac:dyDescent="0.2">
      <c r="A787" s="1">
        <v>45</v>
      </c>
      <c r="B787" s="1" t="s">
        <v>292</v>
      </c>
      <c r="C787" s="1" t="s">
        <v>293</v>
      </c>
      <c r="E787" s="1" t="s">
        <v>293</v>
      </c>
      <c r="F787" s="1">
        <v>2293844</v>
      </c>
      <c r="H787" s="4">
        <v>44309</v>
      </c>
      <c r="I787" s="1" t="s">
        <v>32</v>
      </c>
      <c r="J787" s="1">
        <v>100</v>
      </c>
    </row>
    <row r="788" spans="1:10" x14ac:dyDescent="0.2">
      <c r="A788" s="1">
        <v>45</v>
      </c>
      <c r="B788" s="1" t="s">
        <v>292</v>
      </c>
      <c r="C788" s="1" t="s">
        <v>293</v>
      </c>
      <c r="E788" s="1" t="s">
        <v>293</v>
      </c>
      <c r="F788" s="1">
        <v>2293844</v>
      </c>
      <c r="H788" s="4">
        <v>44309</v>
      </c>
      <c r="I788" s="1" t="s">
        <v>33</v>
      </c>
      <c r="J788" s="1">
        <v>35</v>
      </c>
    </row>
    <row r="789" spans="1:10" x14ac:dyDescent="0.2">
      <c r="A789" s="1">
        <v>45</v>
      </c>
      <c r="B789" s="1" t="s">
        <v>292</v>
      </c>
      <c r="C789" s="1" t="s">
        <v>293</v>
      </c>
      <c r="E789" s="1" t="s">
        <v>293</v>
      </c>
      <c r="F789" s="1">
        <v>2293844</v>
      </c>
      <c r="H789" s="4">
        <v>44309</v>
      </c>
      <c r="I789" s="1" t="s">
        <v>34</v>
      </c>
      <c r="J789" s="1">
        <v>250</v>
      </c>
    </row>
    <row r="790" spans="1:10" x14ac:dyDescent="0.2">
      <c r="A790" s="1">
        <v>45</v>
      </c>
      <c r="B790" s="1" t="s">
        <v>292</v>
      </c>
      <c r="C790" s="1" t="s">
        <v>293</v>
      </c>
      <c r="E790" s="1" t="s">
        <v>293</v>
      </c>
      <c r="F790" s="1">
        <v>2293844</v>
      </c>
      <c r="H790" s="4">
        <v>44309</v>
      </c>
      <c r="I790" s="1" t="s">
        <v>1</v>
      </c>
      <c r="J790" s="1">
        <v>700</v>
      </c>
    </row>
    <row r="791" spans="1:10" x14ac:dyDescent="0.2">
      <c r="A791" s="1">
        <v>44</v>
      </c>
      <c r="B791" s="1" t="s">
        <v>108</v>
      </c>
      <c r="C791" s="1" t="s">
        <v>109</v>
      </c>
      <c r="F791" s="1">
        <v>2294455</v>
      </c>
      <c r="H791" s="4">
        <v>44307</v>
      </c>
      <c r="I791" s="1" t="s">
        <v>24</v>
      </c>
      <c r="J791" s="1">
        <v>45</v>
      </c>
    </row>
    <row r="792" spans="1:10" x14ac:dyDescent="0.2">
      <c r="A792" s="1">
        <v>42</v>
      </c>
      <c r="B792" s="1" t="s">
        <v>423</v>
      </c>
      <c r="C792" s="1" t="s">
        <v>293</v>
      </c>
      <c r="E792" s="1" t="s">
        <v>293</v>
      </c>
      <c r="F792" s="1">
        <v>2293844</v>
      </c>
      <c r="H792" s="4">
        <v>44305</v>
      </c>
      <c r="I792" s="1" t="s">
        <v>73</v>
      </c>
      <c r="J792" s="1">
        <v>100</v>
      </c>
    </row>
    <row r="793" spans="1:10" x14ac:dyDescent="0.2">
      <c r="A793" s="1">
        <v>42</v>
      </c>
      <c r="B793" s="1" t="s">
        <v>423</v>
      </c>
      <c r="C793" s="1" t="s">
        <v>293</v>
      </c>
      <c r="E793" s="1" t="s">
        <v>293</v>
      </c>
      <c r="F793" s="1">
        <v>2293844</v>
      </c>
      <c r="H793" s="4">
        <v>44272</v>
      </c>
      <c r="I793" s="1" t="s">
        <v>19</v>
      </c>
      <c r="J793" s="1">
        <v>10</v>
      </c>
    </row>
    <row r="794" spans="1:10" x14ac:dyDescent="0.2">
      <c r="A794" s="1">
        <v>41</v>
      </c>
      <c r="B794" s="1" t="s">
        <v>424</v>
      </c>
      <c r="C794" s="1" t="s">
        <v>425</v>
      </c>
      <c r="E794" s="1" t="s">
        <v>425</v>
      </c>
      <c r="F794" s="1">
        <v>2294580</v>
      </c>
      <c r="H794" s="4">
        <v>44302</v>
      </c>
      <c r="I794" s="1" t="s">
        <v>26</v>
      </c>
      <c r="J794" s="1">
        <v>100</v>
      </c>
    </row>
    <row r="795" spans="1:10" x14ac:dyDescent="0.2">
      <c r="A795" s="1">
        <v>40</v>
      </c>
      <c r="B795" s="1" t="s">
        <v>420</v>
      </c>
      <c r="C795" s="1" t="s">
        <v>366</v>
      </c>
      <c r="F795" s="1">
        <v>2294393</v>
      </c>
      <c r="H795" s="4">
        <v>44302</v>
      </c>
      <c r="I795" s="1" t="s">
        <v>30</v>
      </c>
      <c r="J795" s="1">
        <v>500</v>
      </c>
    </row>
    <row r="796" spans="1:10" x14ac:dyDescent="0.2">
      <c r="A796" s="1">
        <v>40</v>
      </c>
      <c r="B796" s="1" t="s">
        <v>420</v>
      </c>
      <c r="C796" s="1" t="s">
        <v>366</v>
      </c>
      <c r="F796" s="1">
        <v>2294393</v>
      </c>
      <c r="H796" s="4">
        <v>44302</v>
      </c>
      <c r="I796" s="1" t="s">
        <v>25</v>
      </c>
      <c r="J796" s="1">
        <v>500</v>
      </c>
    </row>
    <row r="797" spans="1:10" x14ac:dyDescent="0.2">
      <c r="A797" s="1">
        <v>37</v>
      </c>
      <c r="B797" s="1" t="s">
        <v>420</v>
      </c>
      <c r="C797" s="1" t="s">
        <v>366</v>
      </c>
      <c r="F797" s="1">
        <v>2294393</v>
      </c>
      <c r="H797" s="4">
        <v>44298</v>
      </c>
      <c r="I797" s="1" t="s">
        <v>18</v>
      </c>
      <c r="J797" s="1">
        <v>100</v>
      </c>
    </row>
    <row r="798" spans="1:10" x14ac:dyDescent="0.2">
      <c r="A798" s="1">
        <v>36</v>
      </c>
      <c r="B798" s="1" t="s">
        <v>420</v>
      </c>
      <c r="C798" s="1" t="s">
        <v>366</v>
      </c>
      <c r="F798" s="1">
        <v>2294393</v>
      </c>
      <c r="H798" s="4">
        <v>44298</v>
      </c>
      <c r="I798" s="1" t="s">
        <v>18</v>
      </c>
      <c r="J798" s="1">
        <v>50</v>
      </c>
    </row>
    <row r="799" spans="1:10" x14ac:dyDescent="0.2">
      <c r="A799" s="1">
        <v>35</v>
      </c>
      <c r="B799" s="1" t="s">
        <v>127</v>
      </c>
      <c r="C799" s="1" t="s">
        <v>128</v>
      </c>
      <c r="F799" s="1">
        <v>2293757</v>
      </c>
      <c r="H799" s="4">
        <v>44294</v>
      </c>
      <c r="I799" s="1" t="s">
        <v>24</v>
      </c>
      <c r="J799" s="1">
        <v>125</v>
      </c>
    </row>
    <row r="800" spans="1:10" x14ac:dyDescent="0.2">
      <c r="A800" s="1">
        <v>34</v>
      </c>
      <c r="B800" s="1" t="s">
        <v>217</v>
      </c>
      <c r="C800" s="1" t="s">
        <v>218</v>
      </c>
      <c r="F800" s="1">
        <v>2293756</v>
      </c>
      <c r="H800" s="4">
        <v>44294</v>
      </c>
      <c r="I800" s="1" t="s">
        <v>24</v>
      </c>
      <c r="J800" s="1">
        <v>125</v>
      </c>
    </row>
    <row r="801" spans="1:10" x14ac:dyDescent="0.2">
      <c r="A801" s="1">
        <v>33</v>
      </c>
      <c r="B801" s="1" t="s">
        <v>426</v>
      </c>
      <c r="C801" s="1" t="s">
        <v>427</v>
      </c>
      <c r="E801" s="1" t="s">
        <v>427</v>
      </c>
      <c r="F801" s="1">
        <v>2293743</v>
      </c>
      <c r="H801" s="4">
        <v>44292</v>
      </c>
      <c r="I801" s="1" t="s">
        <v>66</v>
      </c>
      <c r="J801" s="1">
        <v>10</v>
      </c>
    </row>
    <row r="802" spans="1:10" x14ac:dyDescent="0.2">
      <c r="A802" s="1">
        <v>32</v>
      </c>
      <c r="B802" s="1" t="s">
        <v>428</v>
      </c>
      <c r="C802" s="1" t="s">
        <v>429</v>
      </c>
      <c r="F802" s="1">
        <v>2293779</v>
      </c>
      <c r="H802" s="4">
        <v>44288</v>
      </c>
      <c r="I802" s="1" t="s">
        <v>19</v>
      </c>
      <c r="J802" s="1">
        <v>10</v>
      </c>
    </row>
    <row r="803" spans="1:10" x14ac:dyDescent="0.2">
      <c r="A803" s="1">
        <v>32</v>
      </c>
      <c r="B803" s="1" t="s">
        <v>428</v>
      </c>
      <c r="C803" s="1" t="s">
        <v>429</v>
      </c>
      <c r="F803" s="1">
        <v>2293779</v>
      </c>
      <c r="H803" s="4">
        <v>44288</v>
      </c>
      <c r="I803" s="1" t="s">
        <v>1</v>
      </c>
      <c r="J803" s="1">
        <v>99</v>
      </c>
    </row>
    <row r="804" spans="1:10" x14ac:dyDescent="0.2">
      <c r="A804" s="1">
        <v>31</v>
      </c>
      <c r="B804" s="1" t="s">
        <v>430</v>
      </c>
      <c r="C804" s="1" t="s">
        <v>431</v>
      </c>
      <c r="E804" s="1" t="s">
        <v>431</v>
      </c>
      <c r="F804" s="1">
        <v>2294514</v>
      </c>
      <c r="H804" s="4">
        <v>44287</v>
      </c>
      <c r="I804" s="1" t="s">
        <v>1</v>
      </c>
      <c r="J804" s="1">
        <v>500</v>
      </c>
    </row>
    <row r="805" spans="1:10" x14ac:dyDescent="0.2">
      <c r="A805" s="1">
        <v>30</v>
      </c>
      <c r="B805" s="1" t="s">
        <v>420</v>
      </c>
      <c r="C805" s="1" t="s">
        <v>366</v>
      </c>
      <c r="F805" s="1">
        <v>2294393</v>
      </c>
      <c r="H805" s="4">
        <v>44285</v>
      </c>
      <c r="I805" s="1" t="s">
        <v>66</v>
      </c>
      <c r="J805" s="1">
        <v>700</v>
      </c>
    </row>
    <row r="806" spans="1:10" x14ac:dyDescent="0.2">
      <c r="A806" s="1">
        <v>30</v>
      </c>
      <c r="B806" s="1" t="s">
        <v>420</v>
      </c>
      <c r="C806" s="1" t="s">
        <v>366</v>
      </c>
      <c r="F806" s="1">
        <v>2294393</v>
      </c>
      <c r="H806" s="4">
        <v>44285</v>
      </c>
      <c r="I806" s="1" t="s">
        <v>18</v>
      </c>
      <c r="J806" s="1">
        <v>700</v>
      </c>
    </row>
    <row r="807" spans="1:10" x14ac:dyDescent="0.2">
      <c r="A807" s="1">
        <v>29</v>
      </c>
      <c r="B807" s="1" t="s">
        <v>420</v>
      </c>
      <c r="C807" s="1" t="s">
        <v>366</v>
      </c>
      <c r="F807" s="1">
        <v>2294393</v>
      </c>
      <c r="H807" s="4">
        <v>44285</v>
      </c>
      <c r="I807" s="1" t="s">
        <v>18</v>
      </c>
      <c r="J807" s="1">
        <v>75</v>
      </c>
    </row>
    <row r="808" spans="1:10" x14ac:dyDescent="0.2">
      <c r="A808" s="1">
        <v>28</v>
      </c>
      <c r="B808" s="1" t="s">
        <v>420</v>
      </c>
      <c r="C808" s="1" t="s">
        <v>366</v>
      </c>
      <c r="F808" s="1">
        <v>2294393</v>
      </c>
      <c r="H808" s="4">
        <v>44285</v>
      </c>
      <c r="I808" s="1" t="s">
        <v>18</v>
      </c>
      <c r="J808" s="1">
        <v>125</v>
      </c>
    </row>
    <row r="809" spans="1:10" x14ac:dyDescent="0.2">
      <c r="A809" s="1">
        <v>27</v>
      </c>
      <c r="B809" s="1" t="s">
        <v>420</v>
      </c>
      <c r="C809" s="1" t="s">
        <v>366</v>
      </c>
      <c r="F809" s="1">
        <v>2294393</v>
      </c>
      <c r="H809" s="4">
        <v>44285</v>
      </c>
      <c r="I809" s="1" t="s">
        <v>18</v>
      </c>
      <c r="J809" s="1">
        <v>125</v>
      </c>
    </row>
    <row r="810" spans="1:10" x14ac:dyDescent="0.2">
      <c r="A810" s="1">
        <v>25</v>
      </c>
      <c r="B810" s="1" t="s">
        <v>432</v>
      </c>
      <c r="C810" s="1" t="s">
        <v>433</v>
      </c>
      <c r="F810" s="1">
        <v>2294554</v>
      </c>
      <c r="H810" s="4">
        <v>44280</v>
      </c>
      <c r="I810" s="1" t="s">
        <v>66</v>
      </c>
      <c r="J810" s="1">
        <v>125</v>
      </c>
    </row>
    <row r="811" spans="1:10" x14ac:dyDescent="0.2">
      <c r="A811" s="1">
        <v>22</v>
      </c>
      <c r="B811" s="1" t="s">
        <v>420</v>
      </c>
      <c r="C811" s="1" t="s">
        <v>366</v>
      </c>
      <c r="F811" s="1">
        <v>2294393</v>
      </c>
      <c r="H811" s="4">
        <v>44278</v>
      </c>
      <c r="I811" s="1" t="s">
        <v>1</v>
      </c>
      <c r="J811" s="1">
        <v>125</v>
      </c>
    </row>
    <row r="812" spans="1:10" x14ac:dyDescent="0.2">
      <c r="A812" s="1">
        <v>22</v>
      </c>
      <c r="B812" s="1" t="s">
        <v>420</v>
      </c>
      <c r="C812" s="1" t="s">
        <v>366</v>
      </c>
      <c r="F812" s="1">
        <v>2294393</v>
      </c>
      <c r="H812" s="4">
        <v>44278</v>
      </c>
      <c r="I812" s="1" t="s">
        <v>49</v>
      </c>
      <c r="J812" s="1">
        <v>75</v>
      </c>
    </row>
    <row r="813" spans="1:10" x14ac:dyDescent="0.2">
      <c r="A813" s="1">
        <v>21</v>
      </c>
      <c r="B813" s="1" t="s">
        <v>434</v>
      </c>
      <c r="C813" s="1" t="s">
        <v>435</v>
      </c>
      <c r="E813" s="1" t="s">
        <v>435</v>
      </c>
      <c r="F813" s="1">
        <v>2294537</v>
      </c>
      <c r="H813" s="4">
        <v>44277</v>
      </c>
      <c r="I813" s="1" t="s">
        <v>1</v>
      </c>
      <c r="J813" s="1">
        <v>700</v>
      </c>
    </row>
    <row r="814" spans="1:10" x14ac:dyDescent="0.2">
      <c r="A814" s="1">
        <v>20</v>
      </c>
      <c r="B814" s="1" t="s">
        <v>436</v>
      </c>
      <c r="C814" s="1" t="s">
        <v>437</v>
      </c>
      <c r="F814" s="1">
        <v>2293876</v>
      </c>
      <c r="H814" s="4">
        <v>44273</v>
      </c>
      <c r="I814" s="1" t="s">
        <v>10</v>
      </c>
      <c r="J814" s="1">
        <v>95.25</v>
      </c>
    </row>
    <row r="815" spans="1:10" x14ac:dyDescent="0.2">
      <c r="A815" s="1">
        <v>19</v>
      </c>
      <c r="B815" s="1" t="s">
        <v>430</v>
      </c>
      <c r="C815" s="1" t="s">
        <v>431</v>
      </c>
      <c r="E815" s="1" t="s">
        <v>431</v>
      </c>
      <c r="F815" s="1">
        <v>2294514</v>
      </c>
      <c r="H815" s="4">
        <v>44273</v>
      </c>
      <c r="I815" s="1" t="s">
        <v>1</v>
      </c>
      <c r="J815" s="1">
        <v>700</v>
      </c>
    </row>
    <row r="816" spans="1:10" x14ac:dyDescent="0.2">
      <c r="A816" s="1">
        <v>17</v>
      </c>
      <c r="B816" s="1" t="s">
        <v>438</v>
      </c>
      <c r="C816" s="1" t="s">
        <v>439</v>
      </c>
      <c r="F816" s="1">
        <v>2294032</v>
      </c>
      <c r="H816" s="4">
        <v>44232</v>
      </c>
      <c r="I816" s="1" t="s">
        <v>49</v>
      </c>
      <c r="J816" s="1">
        <v>160</v>
      </c>
    </row>
    <row r="817" spans="1:10" x14ac:dyDescent="0.2">
      <c r="A817" s="1">
        <v>17</v>
      </c>
      <c r="B817" s="1" t="s">
        <v>438</v>
      </c>
      <c r="C817" s="1" t="s">
        <v>439</v>
      </c>
      <c r="F817" s="1">
        <v>2294032</v>
      </c>
      <c r="H817" s="4">
        <v>44232</v>
      </c>
      <c r="I817" s="1" t="s">
        <v>34</v>
      </c>
      <c r="J817" s="1">
        <v>700</v>
      </c>
    </row>
    <row r="818" spans="1:10" x14ac:dyDescent="0.2">
      <c r="A818" s="1">
        <v>15</v>
      </c>
      <c r="B818" s="1" t="s">
        <v>420</v>
      </c>
      <c r="C818" s="1" t="s">
        <v>366</v>
      </c>
      <c r="F818" s="1">
        <v>2294393</v>
      </c>
      <c r="H818" s="4">
        <v>44218</v>
      </c>
      <c r="I818" s="1" t="s">
        <v>10</v>
      </c>
      <c r="J818" s="1">
        <v>77.05</v>
      </c>
    </row>
    <row r="819" spans="1:10" x14ac:dyDescent="0.2">
      <c r="A819" s="1">
        <v>14</v>
      </c>
      <c r="B819" s="1" t="s">
        <v>161</v>
      </c>
      <c r="C819" s="1" t="s">
        <v>162</v>
      </c>
      <c r="F819" s="1">
        <v>2294453</v>
      </c>
      <c r="H819" s="4">
        <v>44219</v>
      </c>
      <c r="I819" s="1" t="s">
        <v>19</v>
      </c>
      <c r="J819" s="1">
        <v>95.25</v>
      </c>
    </row>
    <row r="820" spans="1:10" x14ac:dyDescent="0.2">
      <c r="A820" s="1">
        <v>12</v>
      </c>
      <c r="B820" s="1" t="s">
        <v>420</v>
      </c>
      <c r="C820" s="1" t="s">
        <v>366</v>
      </c>
      <c r="F820" s="1">
        <v>2294393</v>
      </c>
      <c r="H820" s="4">
        <v>44218</v>
      </c>
      <c r="I820" s="1" t="s">
        <v>82</v>
      </c>
      <c r="J820" s="1">
        <v>320</v>
      </c>
    </row>
    <row r="821" spans="1:10" x14ac:dyDescent="0.2">
      <c r="A821" s="1">
        <v>12</v>
      </c>
      <c r="B821" s="1" t="s">
        <v>420</v>
      </c>
      <c r="C821" s="1" t="s">
        <v>366</v>
      </c>
      <c r="F821" s="1">
        <v>2294393</v>
      </c>
      <c r="H821" s="4">
        <v>44218</v>
      </c>
      <c r="I821" s="1" t="s">
        <v>70</v>
      </c>
      <c r="J821" s="1">
        <v>500</v>
      </c>
    </row>
    <row r="822" spans="1:10" x14ac:dyDescent="0.2">
      <c r="A822" s="1">
        <v>12</v>
      </c>
      <c r="B822" s="1" t="s">
        <v>420</v>
      </c>
      <c r="C822" s="1" t="s">
        <v>366</v>
      </c>
      <c r="F822" s="1">
        <v>2294393</v>
      </c>
      <c r="H822" s="4">
        <v>44218</v>
      </c>
      <c r="I822" s="1" t="s">
        <v>10</v>
      </c>
      <c r="J822" s="1">
        <v>40</v>
      </c>
    </row>
    <row r="823" spans="1:10" x14ac:dyDescent="0.2">
      <c r="J823" s="1">
        <v>300</v>
      </c>
    </row>
    <row r="824" spans="1:10" x14ac:dyDescent="0.2">
      <c r="J824" s="1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7BBCF-8867-4F8F-A799-BF9E9A4BED74}">
  <sheetPr codeName="Hoja5"/>
  <dimension ref="A2:C17"/>
  <sheetViews>
    <sheetView workbookViewId="0">
      <selection activeCell="C15" sqref="C15"/>
    </sheetView>
  </sheetViews>
  <sheetFormatPr baseColWidth="10" defaultRowHeight="12.75" x14ac:dyDescent="0.2"/>
  <cols>
    <col min="1" max="1" width="48.7109375" bestFit="1" customWidth="1"/>
    <col min="2" max="2" width="67" bestFit="1" customWidth="1"/>
  </cols>
  <sheetData>
    <row r="2" spans="1:3" x14ac:dyDescent="0.2">
      <c r="A2" s="2" t="s">
        <v>472</v>
      </c>
      <c r="B2" s="2" t="s">
        <v>471</v>
      </c>
    </row>
    <row r="3" spans="1:3" x14ac:dyDescent="0.2">
      <c r="A3" s="10" t="s">
        <v>88</v>
      </c>
      <c r="B3" s="10" t="s">
        <v>470</v>
      </c>
    </row>
    <row r="4" spans="1:3" x14ac:dyDescent="0.2">
      <c r="A4" s="1" t="s">
        <v>89</v>
      </c>
      <c r="B4" s="10" t="s">
        <v>454</v>
      </c>
    </row>
    <row r="5" spans="1:3" x14ac:dyDescent="0.2">
      <c r="A5" s="1" t="s">
        <v>90</v>
      </c>
      <c r="B5" s="10" t="s">
        <v>469</v>
      </c>
    </row>
    <row r="6" spans="1:3" x14ac:dyDescent="0.2">
      <c r="A6" s="1" t="s">
        <v>95</v>
      </c>
      <c r="B6" s="10" t="s">
        <v>452</v>
      </c>
    </row>
    <row r="7" spans="1:3" x14ac:dyDescent="0.2">
      <c r="A7" s="1" t="s">
        <v>96</v>
      </c>
      <c r="B7" s="10" t="s">
        <v>468</v>
      </c>
    </row>
    <row r="8" spans="1:3" x14ac:dyDescent="0.2">
      <c r="A8" s="1" t="s">
        <v>101</v>
      </c>
      <c r="B8" s="10" t="s">
        <v>451</v>
      </c>
    </row>
    <row r="9" spans="1:3" x14ac:dyDescent="0.2">
      <c r="A9" s="1" t="s">
        <v>102</v>
      </c>
      <c r="B9" s="10" t="s">
        <v>467</v>
      </c>
    </row>
    <row r="10" spans="1:3" x14ac:dyDescent="0.2">
      <c r="A10" s="1" t="s">
        <v>103</v>
      </c>
      <c r="B10" s="10" t="s">
        <v>447</v>
      </c>
    </row>
    <row r="11" spans="1:3" x14ac:dyDescent="0.2">
      <c r="A11" s="1" t="s">
        <v>0</v>
      </c>
      <c r="B11" s="10" t="s">
        <v>466</v>
      </c>
    </row>
    <row r="12" spans="1:3" x14ac:dyDescent="0.2">
      <c r="A12" s="11" t="s">
        <v>441</v>
      </c>
      <c r="B12" s="10" t="s">
        <v>465</v>
      </c>
    </row>
    <row r="14" spans="1:3" x14ac:dyDescent="0.2">
      <c r="A14" s="10" t="s">
        <v>464</v>
      </c>
      <c r="B14" s="10" t="s">
        <v>463</v>
      </c>
    </row>
    <row r="15" spans="1:3" x14ac:dyDescent="0.2">
      <c r="A15" s="10" t="s">
        <v>462</v>
      </c>
      <c r="B15" s="10" t="s">
        <v>461</v>
      </c>
      <c r="C15" s="10" t="s">
        <v>460</v>
      </c>
    </row>
    <row r="16" spans="1:3" x14ac:dyDescent="0.2">
      <c r="A16" s="10" t="s">
        <v>459</v>
      </c>
      <c r="B16" s="10" t="s">
        <v>458</v>
      </c>
      <c r="C16" s="10" t="s">
        <v>457</v>
      </c>
    </row>
    <row r="17" spans="1:2" x14ac:dyDescent="0.2">
      <c r="A17" s="10" t="s">
        <v>456</v>
      </c>
      <c r="B17" s="10" t="s">
        <v>455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FA9F-7AEB-4A3E-86F6-E6A1F5EB4FEB}">
  <sheetPr codeName="Hoja1"/>
  <dimension ref="A1:AB824"/>
  <sheetViews>
    <sheetView topLeftCell="X1" zoomScaleNormal="100" workbookViewId="0">
      <selection activeCell="Y2" sqref="Y2"/>
    </sheetView>
  </sheetViews>
  <sheetFormatPr baseColWidth="10" defaultColWidth="8.140625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  <col min="11" max="11" width="3.28515625" style="13" customWidth="1"/>
    <col min="12" max="12" width="31.85546875" style="13" customWidth="1"/>
    <col min="13" max="13" width="4.85546875" style="13" customWidth="1"/>
    <col min="14" max="14" width="17.140625" style="13" customWidth="1"/>
    <col min="15" max="15" width="4.7109375" style="13" customWidth="1"/>
    <col min="16" max="16" width="6.28515625" style="13" customWidth="1"/>
    <col min="17" max="17" width="10.140625" style="13" customWidth="1"/>
    <col min="18" max="18" width="6" style="13" customWidth="1"/>
    <col min="19" max="19" width="32.140625" style="13" customWidth="1"/>
    <col min="20" max="20" width="4.140625" style="13" customWidth="1"/>
    <col min="21" max="21" width="14.5703125" style="13" customWidth="1"/>
    <col min="22" max="22" width="6.7109375" style="13" customWidth="1"/>
    <col min="23" max="23" width="12.42578125" style="13" customWidth="1"/>
    <col min="24" max="24" width="10.42578125" style="13" customWidth="1"/>
    <col min="25" max="25" width="28.140625" style="13" customWidth="1"/>
    <col min="26" max="26" width="39.28515625" style="13" customWidth="1"/>
    <col min="27" max="27" width="28.140625" style="13" customWidth="1"/>
    <col min="28" max="29" width="11" style="13" bestFit="1" customWidth="1"/>
    <col min="30" max="16384" width="8.140625" style="13"/>
  </cols>
  <sheetData>
    <row r="1" spans="1:28" s="12" customFormat="1" x14ac:dyDescent="0.2">
      <c r="A1" s="3" t="s">
        <v>88</v>
      </c>
      <c r="B1" s="3" t="s">
        <v>89</v>
      </c>
      <c r="C1" s="3" t="s">
        <v>90</v>
      </c>
      <c r="D1" s="3" t="s">
        <v>95</v>
      </c>
      <c r="E1" s="3" t="s">
        <v>96</v>
      </c>
      <c r="F1" s="3" t="s">
        <v>101</v>
      </c>
      <c r="G1" s="3" t="s">
        <v>102</v>
      </c>
      <c r="H1" s="3" t="s">
        <v>103</v>
      </c>
      <c r="I1" s="3" t="s">
        <v>0</v>
      </c>
      <c r="J1" s="3" t="s">
        <v>441</v>
      </c>
      <c r="L1" s="12" t="s">
        <v>91</v>
      </c>
      <c r="N1" s="12" t="s">
        <v>92</v>
      </c>
      <c r="P1" s="12" t="s">
        <v>93</v>
      </c>
      <c r="Q1" s="12" t="s">
        <v>94</v>
      </c>
      <c r="S1" s="12" t="s">
        <v>97</v>
      </c>
      <c r="U1" s="12" t="s">
        <v>98</v>
      </c>
      <c r="W1" s="12" t="s">
        <v>99</v>
      </c>
      <c r="X1" s="12" t="s">
        <v>100</v>
      </c>
      <c r="Z1" s="12" t="s">
        <v>440</v>
      </c>
      <c r="AB1" s="12" t="s">
        <v>442</v>
      </c>
    </row>
    <row r="2" spans="1:28" x14ac:dyDescent="0.2">
      <c r="H2" s="4"/>
      <c r="K2" s="13" t="e">
        <f t="shared" ref="K2" si="0">FIND(",",C2)</f>
        <v>#VALUE!</v>
      </c>
      <c r="L2" s="13" t="e">
        <f t="shared" ref="L2" si="1">LEFT(C2,K2-1)</f>
        <v>#VALUE!</v>
      </c>
      <c r="M2" s="13" t="e">
        <f t="shared" ref="M2" si="2">FIND(",",C2,K2+1)</f>
        <v>#VALUE!</v>
      </c>
      <c r="N2" s="13" t="e">
        <f t="shared" ref="N2" si="3">MID(C2,K2+2,M2-K2-2)</f>
        <v>#VALUE!</v>
      </c>
      <c r="O2" s="13" t="e">
        <f t="shared" ref="O2" si="4">FIND(",",C2,M2+1)</f>
        <v>#VALUE!</v>
      </c>
      <c r="P2" s="13" t="e">
        <f t="shared" ref="P2" si="5">MID(C2,M2+2,O2-M2-2)</f>
        <v>#VALUE!</v>
      </c>
      <c r="Q2" s="13" t="e">
        <f t="shared" ref="Q2" si="6">MID(C2,O2+2,100)</f>
        <v>#VALUE!</v>
      </c>
      <c r="R2" s="13" t="e">
        <f t="shared" ref="R2" si="7">FIND(",",E2)</f>
        <v>#VALUE!</v>
      </c>
      <c r="S2" s="13" t="e">
        <f t="shared" ref="S2" si="8">LEFT(E2,R2-1)</f>
        <v>#VALUE!</v>
      </c>
      <c r="T2" s="13" t="e">
        <f t="shared" ref="T2" si="9">FIND(",",E2,R2+1)</f>
        <v>#VALUE!</v>
      </c>
      <c r="U2" s="13" t="e">
        <f t="shared" ref="U2" si="10">MID(E2,R2+2,T2-R2-2)</f>
        <v>#VALUE!</v>
      </c>
      <c r="V2" s="13" t="e">
        <f t="shared" ref="V2" si="11">FIND(",",E2,T2+1)</f>
        <v>#VALUE!</v>
      </c>
      <c r="W2" s="13" t="e">
        <f t="shared" ref="W2" si="12">MID(E2,T2+2,V2-T2-2)</f>
        <v>#VALUE!</v>
      </c>
      <c r="X2" s="13" t="e">
        <f t="shared" ref="X2" si="13">MID(E2,V2+2,100)</f>
        <v>#VALUE!</v>
      </c>
      <c r="Y2" s="13">
        <f t="shared" ref="Y2" si="14">IF(A2&lt;&gt;A1,I2,Y1&amp;", "&amp;I2)</f>
        <v>0</v>
      </c>
      <c r="Z2" s="13" t="str">
        <f t="shared" ref="Z2" si="15">IF(A2&lt;&gt;A3,CONCATENATE("",Y2,""""),"")</f>
        <v/>
      </c>
    </row>
    <row r="3" spans="1:28" x14ac:dyDescent="0.2">
      <c r="H3" s="4"/>
    </row>
    <row r="4" spans="1:28" x14ac:dyDescent="0.2">
      <c r="H4" s="4"/>
    </row>
    <row r="5" spans="1:28" x14ac:dyDescent="0.2">
      <c r="H5" s="4"/>
    </row>
    <row r="6" spans="1:28" x14ac:dyDescent="0.2">
      <c r="H6" s="4"/>
    </row>
    <row r="7" spans="1:28" x14ac:dyDescent="0.2">
      <c r="H7" s="4"/>
    </row>
    <row r="8" spans="1:28" x14ac:dyDescent="0.2">
      <c r="H8" s="4"/>
    </row>
    <row r="9" spans="1:28" x14ac:dyDescent="0.2">
      <c r="H9" s="4"/>
    </row>
    <row r="10" spans="1:28" x14ac:dyDescent="0.2">
      <c r="H10" s="4"/>
    </row>
    <row r="11" spans="1:28" x14ac:dyDescent="0.2">
      <c r="H11" s="4"/>
    </row>
    <row r="12" spans="1:28" x14ac:dyDescent="0.2">
      <c r="H12" s="4"/>
    </row>
    <row r="13" spans="1:28" x14ac:dyDescent="0.2">
      <c r="H13" s="4"/>
    </row>
    <row r="14" spans="1:28" x14ac:dyDescent="0.2">
      <c r="H14" s="4"/>
    </row>
    <row r="15" spans="1:28" x14ac:dyDescent="0.2">
      <c r="H15" s="4"/>
    </row>
    <row r="16" spans="1:28" x14ac:dyDescent="0.2">
      <c r="H16" s="4"/>
    </row>
    <row r="17" spans="8:8" x14ac:dyDescent="0.2">
      <c r="H17" s="4"/>
    </row>
    <row r="18" spans="8:8" x14ac:dyDescent="0.2">
      <c r="H18" s="4"/>
    </row>
    <row r="19" spans="8:8" x14ac:dyDescent="0.2">
      <c r="H19" s="4"/>
    </row>
    <row r="20" spans="8:8" x14ac:dyDescent="0.2">
      <c r="H20" s="4"/>
    </row>
    <row r="21" spans="8:8" x14ac:dyDescent="0.2">
      <c r="H21" s="4"/>
    </row>
    <row r="22" spans="8:8" x14ac:dyDescent="0.2">
      <c r="H22" s="4"/>
    </row>
    <row r="23" spans="8:8" x14ac:dyDescent="0.2">
      <c r="H23" s="4"/>
    </row>
    <row r="24" spans="8:8" x14ac:dyDescent="0.2">
      <c r="H24" s="4"/>
    </row>
    <row r="25" spans="8:8" x14ac:dyDescent="0.2">
      <c r="H25" s="4"/>
    </row>
    <row r="26" spans="8:8" x14ac:dyDescent="0.2">
      <c r="H26" s="4"/>
    </row>
    <row r="27" spans="8:8" x14ac:dyDescent="0.2">
      <c r="H27" s="4"/>
    </row>
    <row r="28" spans="8:8" x14ac:dyDescent="0.2">
      <c r="H28" s="4"/>
    </row>
    <row r="29" spans="8:8" x14ac:dyDescent="0.2">
      <c r="H29" s="4"/>
    </row>
    <row r="30" spans="8:8" x14ac:dyDescent="0.2">
      <c r="H30" s="4"/>
    </row>
    <row r="31" spans="8:8" x14ac:dyDescent="0.2">
      <c r="H31" s="4"/>
    </row>
    <row r="32" spans="8:8" x14ac:dyDescent="0.2">
      <c r="H32" s="4"/>
    </row>
    <row r="33" spans="8:8" x14ac:dyDescent="0.2">
      <c r="H33" s="4"/>
    </row>
    <row r="34" spans="8:8" x14ac:dyDescent="0.2">
      <c r="H34" s="4"/>
    </row>
    <row r="35" spans="8:8" x14ac:dyDescent="0.2">
      <c r="H35" s="4"/>
    </row>
    <row r="36" spans="8:8" x14ac:dyDescent="0.2">
      <c r="H36" s="4"/>
    </row>
    <row r="37" spans="8:8" x14ac:dyDescent="0.2">
      <c r="H37" s="4"/>
    </row>
    <row r="38" spans="8:8" x14ac:dyDescent="0.2">
      <c r="H38" s="4"/>
    </row>
    <row r="39" spans="8:8" x14ac:dyDescent="0.2">
      <c r="H39" s="4"/>
    </row>
    <row r="40" spans="8:8" x14ac:dyDescent="0.2">
      <c r="H40" s="4"/>
    </row>
    <row r="41" spans="8:8" x14ac:dyDescent="0.2">
      <c r="H41" s="4"/>
    </row>
    <row r="42" spans="8:8" x14ac:dyDescent="0.2">
      <c r="H42" s="4"/>
    </row>
    <row r="43" spans="8:8" x14ac:dyDescent="0.2">
      <c r="H43" s="4"/>
    </row>
    <row r="44" spans="8:8" x14ac:dyDescent="0.2">
      <c r="H44" s="4"/>
    </row>
    <row r="45" spans="8:8" x14ac:dyDescent="0.2">
      <c r="H45" s="4"/>
    </row>
    <row r="46" spans="8:8" x14ac:dyDescent="0.2">
      <c r="H46" s="4"/>
    </row>
    <row r="47" spans="8:8" x14ac:dyDescent="0.2">
      <c r="H47" s="4"/>
    </row>
    <row r="48" spans="8:8" x14ac:dyDescent="0.2">
      <c r="H48" s="4"/>
    </row>
    <row r="49" spans="8:8" x14ac:dyDescent="0.2">
      <c r="H49" s="4"/>
    </row>
    <row r="50" spans="8:8" x14ac:dyDescent="0.2">
      <c r="H50" s="4"/>
    </row>
    <row r="51" spans="8:8" x14ac:dyDescent="0.2">
      <c r="H51" s="4"/>
    </row>
    <row r="52" spans="8:8" x14ac:dyDescent="0.2">
      <c r="H52" s="4"/>
    </row>
    <row r="53" spans="8:8" x14ac:dyDescent="0.2">
      <c r="H53" s="4"/>
    </row>
    <row r="54" spans="8:8" x14ac:dyDescent="0.2">
      <c r="H54" s="4"/>
    </row>
    <row r="55" spans="8:8" x14ac:dyDescent="0.2">
      <c r="H55" s="4"/>
    </row>
    <row r="56" spans="8:8" x14ac:dyDescent="0.2">
      <c r="H56" s="4"/>
    </row>
    <row r="57" spans="8:8" x14ac:dyDescent="0.2">
      <c r="H57" s="4"/>
    </row>
    <row r="58" spans="8:8" x14ac:dyDescent="0.2">
      <c r="H58" s="4"/>
    </row>
    <row r="59" spans="8:8" x14ac:dyDescent="0.2">
      <c r="H59" s="4"/>
    </row>
    <row r="60" spans="8:8" x14ac:dyDescent="0.2">
      <c r="H60" s="4"/>
    </row>
    <row r="61" spans="8:8" x14ac:dyDescent="0.2">
      <c r="H61" s="4"/>
    </row>
    <row r="62" spans="8:8" x14ac:dyDescent="0.2">
      <c r="H62" s="4"/>
    </row>
    <row r="63" spans="8:8" x14ac:dyDescent="0.2">
      <c r="H63" s="4"/>
    </row>
    <row r="64" spans="8:8" x14ac:dyDescent="0.2">
      <c r="H64" s="4"/>
    </row>
    <row r="65" spans="8:8" x14ac:dyDescent="0.2">
      <c r="H65" s="4"/>
    </row>
    <row r="66" spans="8:8" x14ac:dyDescent="0.2">
      <c r="H66" s="4"/>
    </row>
    <row r="67" spans="8:8" x14ac:dyDescent="0.2">
      <c r="H67" s="4"/>
    </row>
    <row r="68" spans="8:8" x14ac:dyDescent="0.2">
      <c r="H68" s="4"/>
    </row>
    <row r="69" spans="8:8" x14ac:dyDescent="0.2">
      <c r="H69" s="4"/>
    </row>
    <row r="70" spans="8:8" x14ac:dyDescent="0.2">
      <c r="H70" s="4"/>
    </row>
    <row r="71" spans="8:8" x14ac:dyDescent="0.2">
      <c r="H71" s="4"/>
    </row>
    <row r="72" spans="8:8" x14ac:dyDescent="0.2">
      <c r="H72" s="4"/>
    </row>
    <row r="73" spans="8:8" x14ac:dyDescent="0.2">
      <c r="H73" s="4"/>
    </row>
    <row r="74" spans="8:8" x14ac:dyDescent="0.2">
      <c r="H74" s="4"/>
    </row>
    <row r="75" spans="8:8" x14ac:dyDescent="0.2">
      <c r="H75" s="4"/>
    </row>
    <row r="76" spans="8:8" x14ac:dyDescent="0.2">
      <c r="H76" s="4"/>
    </row>
    <row r="77" spans="8:8" x14ac:dyDescent="0.2">
      <c r="H77" s="4"/>
    </row>
    <row r="78" spans="8:8" x14ac:dyDescent="0.2">
      <c r="H78" s="4"/>
    </row>
    <row r="79" spans="8:8" x14ac:dyDescent="0.2">
      <c r="H79" s="4"/>
    </row>
    <row r="80" spans="8:8" x14ac:dyDescent="0.2">
      <c r="H80" s="4"/>
    </row>
    <row r="81" spans="8:8" x14ac:dyDescent="0.2">
      <c r="H81" s="4"/>
    </row>
    <row r="82" spans="8:8" x14ac:dyDescent="0.2">
      <c r="H82" s="4"/>
    </row>
    <row r="83" spans="8:8" x14ac:dyDescent="0.2">
      <c r="H83" s="4"/>
    </row>
    <row r="84" spans="8:8" x14ac:dyDescent="0.2">
      <c r="H84" s="4"/>
    </row>
    <row r="85" spans="8:8" x14ac:dyDescent="0.2">
      <c r="H85" s="4"/>
    </row>
    <row r="86" spans="8:8" x14ac:dyDescent="0.2">
      <c r="H86" s="4"/>
    </row>
    <row r="87" spans="8:8" x14ac:dyDescent="0.2">
      <c r="H87" s="4"/>
    </row>
    <row r="88" spans="8:8" x14ac:dyDescent="0.2">
      <c r="H88" s="4"/>
    </row>
    <row r="89" spans="8:8" x14ac:dyDescent="0.2">
      <c r="H89" s="4"/>
    </row>
    <row r="90" spans="8:8" x14ac:dyDescent="0.2">
      <c r="H90" s="4"/>
    </row>
    <row r="91" spans="8:8" x14ac:dyDescent="0.2">
      <c r="H91" s="4"/>
    </row>
    <row r="92" spans="8:8" x14ac:dyDescent="0.2">
      <c r="H92" s="4"/>
    </row>
    <row r="93" spans="8:8" x14ac:dyDescent="0.2">
      <c r="H93" s="4"/>
    </row>
    <row r="94" spans="8:8" x14ac:dyDescent="0.2">
      <c r="H94" s="4"/>
    </row>
    <row r="95" spans="8:8" x14ac:dyDescent="0.2">
      <c r="H95" s="4"/>
    </row>
    <row r="96" spans="8:8" x14ac:dyDescent="0.2">
      <c r="H96" s="4"/>
    </row>
    <row r="97" spans="8:8" x14ac:dyDescent="0.2">
      <c r="H97" s="4"/>
    </row>
    <row r="98" spans="8:8" x14ac:dyDescent="0.2">
      <c r="H98" s="4"/>
    </row>
    <row r="99" spans="8:8" x14ac:dyDescent="0.2">
      <c r="H99" s="4"/>
    </row>
    <row r="100" spans="8:8" x14ac:dyDescent="0.2">
      <c r="H100" s="4"/>
    </row>
    <row r="101" spans="8:8" x14ac:dyDescent="0.2">
      <c r="H101" s="4"/>
    </row>
    <row r="102" spans="8:8" x14ac:dyDescent="0.2">
      <c r="H102" s="4"/>
    </row>
    <row r="103" spans="8:8" x14ac:dyDescent="0.2">
      <c r="H103" s="4"/>
    </row>
    <row r="104" spans="8:8" x14ac:dyDescent="0.2">
      <c r="H104" s="4"/>
    </row>
    <row r="105" spans="8:8" x14ac:dyDescent="0.2">
      <c r="H105" s="4"/>
    </row>
    <row r="106" spans="8:8" x14ac:dyDescent="0.2">
      <c r="H106" s="4"/>
    </row>
    <row r="107" spans="8:8" x14ac:dyDescent="0.2">
      <c r="H107" s="4"/>
    </row>
    <row r="108" spans="8:8" x14ac:dyDescent="0.2">
      <c r="H108" s="4"/>
    </row>
    <row r="109" spans="8:8" x14ac:dyDescent="0.2">
      <c r="H109" s="4"/>
    </row>
    <row r="110" spans="8:8" x14ac:dyDescent="0.2">
      <c r="H110" s="4"/>
    </row>
    <row r="111" spans="8:8" x14ac:dyDescent="0.2">
      <c r="H111" s="4"/>
    </row>
    <row r="112" spans="8:8" x14ac:dyDescent="0.2">
      <c r="H112" s="4"/>
    </row>
    <row r="113" spans="8:8" x14ac:dyDescent="0.2">
      <c r="H113" s="4"/>
    </row>
    <row r="114" spans="8:8" x14ac:dyDescent="0.2">
      <c r="H114" s="4"/>
    </row>
    <row r="115" spans="8:8" x14ac:dyDescent="0.2">
      <c r="H115" s="4"/>
    </row>
    <row r="116" spans="8:8" x14ac:dyDescent="0.2">
      <c r="H116" s="4"/>
    </row>
    <row r="117" spans="8:8" x14ac:dyDescent="0.2">
      <c r="H117" s="4"/>
    </row>
    <row r="118" spans="8:8" x14ac:dyDescent="0.2">
      <c r="H118" s="4"/>
    </row>
    <row r="119" spans="8:8" x14ac:dyDescent="0.2">
      <c r="H119" s="4"/>
    </row>
    <row r="120" spans="8:8" x14ac:dyDescent="0.2">
      <c r="H120" s="4"/>
    </row>
    <row r="121" spans="8:8" x14ac:dyDescent="0.2">
      <c r="H121" s="4"/>
    </row>
    <row r="122" spans="8:8" x14ac:dyDescent="0.2">
      <c r="H122" s="4"/>
    </row>
    <row r="123" spans="8:8" x14ac:dyDescent="0.2">
      <c r="H123" s="4"/>
    </row>
    <row r="124" spans="8:8" x14ac:dyDescent="0.2">
      <c r="H124" s="4"/>
    </row>
    <row r="125" spans="8:8" x14ac:dyDescent="0.2">
      <c r="H125" s="4"/>
    </row>
    <row r="126" spans="8:8" x14ac:dyDescent="0.2">
      <c r="H126" s="4"/>
    </row>
    <row r="127" spans="8:8" x14ac:dyDescent="0.2">
      <c r="H127" s="4"/>
    </row>
    <row r="128" spans="8:8" x14ac:dyDescent="0.2">
      <c r="H128" s="4"/>
    </row>
    <row r="129" spans="8:8" x14ac:dyDescent="0.2">
      <c r="H129" s="4"/>
    </row>
    <row r="130" spans="8:8" x14ac:dyDescent="0.2">
      <c r="H130" s="4"/>
    </row>
    <row r="131" spans="8:8" x14ac:dyDescent="0.2">
      <c r="H131" s="4"/>
    </row>
    <row r="132" spans="8:8" x14ac:dyDescent="0.2">
      <c r="H132" s="4"/>
    </row>
    <row r="133" spans="8:8" x14ac:dyDescent="0.2">
      <c r="H133" s="4"/>
    </row>
    <row r="134" spans="8:8" x14ac:dyDescent="0.2">
      <c r="H134" s="4"/>
    </row>
    <row r="135" spans="8:8" x14ac:dyDescent="0.2">
      <c r="H135" s="4"/>
    </row>
    <row r="136" spans="8:8" x14ac:dyDescent="0.2">
      <c r="H136" s="4"/>
    </row>
    <row r="137" spans="8:8" x14ac:dyDescent="0.2">
      <c r="H137" s="4"/>
    </row>
    <row r="138" spans="8:8" x14ac:dyDescent="0.2">
      <c r="H138" s="4"/>
    </row>
    <row r="139" spans="8:8" x14ac:dyDescent="0.2">
      <c r="H139" s="4"/>
    </row>
    <row r="140" spans="8:8" x14ac:dyDescent="0.2">
      <c r="H140" s="4"/>
    </row>
    <row r="141" spans="8:8" x14ac:dyDescent="0.2">
      <c r="H141" s="4"/>
    </row>
    <row r="142" spans="8:8" x14ac:dyDescent="0.2">
      <c r="H142" s="4"/>
    </row>
    <row r="143" spans="8:8" x14ac:dyDescent="0.2">
      <c r="H143" s="4"/>
    </row>
    <row r="144" spans="8:8" x14ac:dyDescent="0.2">
      <c r="H144" s="4"/>
    </row>
    <row r="145" spans="8:8" x14ac:dyDescent="0.2">
      <c r="H145" s="4"/>
    </row>
    <row r="146" spans="8:8" x14ac:dyDescent="0.2">
      <c r="H146" s="4"/>
    </row>
    <row r="147" spans="8:8" x14ac:dyDescent="0.2">
      <c r="H147" s="4"/>
    </row>
    <row r="148" spans="8:8" x14ac:dyDescent="0.2">
      <c r="H148" s="4"/>
    </row>
    <row r="149" spans="8:8" x14ac:dyDescent="0.2">
      <c r="H149" s="4"/>
    </row>
    <row r="150" spans="8:8" x14ac:dyDescent="0.2">
      <c r="H150" s="4"/>
    </row>
    <row r="151" spans="8:8" x14ac:dyDescent="0.2">
      <c r="H151" s="4"/>
    </row>
    <row r="152" spans="8:8" x14ac:dyDescent="0.2">
      <c r="H152" s="4"/>
    </row>
    <row r="153" spans="8:8" x14ac:dyDescent="0.2">
      <c r="H153" s="4"/>
    </row>
    <row r="154" spans="8:8" x14ac:dyDescent="0.2">
      <c r="H154" s="4"/>
    </row>
    <row r="155" spans="8:8" x14ac:dyDescent="0.2">
      <c r="H155" s="4"/>
    </row>
    <row r="156" spans="8:8" x14ac:dyDescent="0.2">
      <c r="H156" s="4"/>
    </row>
    <row r="157" spans="8:8" x14ac:dyDescent="0.2">
      <c r="H157" s="4"/>
    </row>
    <row r="158" spans="8:8" x14ac:dyDescent="0.2">
      <c r="H158" s="4"/>
    </row>
    <row r="159" spans="8:8" x14ac:dyDescent="0.2">
      <c r="H159" s="4"/>
    </row>
    <row r="160" spans="8:8" x14ac:dyDescent="0.2">
      <c r="H160" s="4"/>
    </row>
    <row r="161" spans="8:8" x14ac:dyDescent="0.2">
      <c r="H161" s="4"/>
    </row>
    <row r="162" spans="8:8" x14ac:dyDescent="0.2">
      <c r="H162" s="4"/>
    </row>
    <row r="163" spans="8:8" x14ac:dyDescent="0.2">
      <c r="H163" s="4"/>
    </row>
    <row r="164" spans="8:8" x14ac:dyDescent="0.2">
      <c r="H164" s="4"/>
    </row>
    <row r="165" spans="8:8" x14ac:dyDescent="0.2">
      <c r="H165" s="4"/>
    </row>
    <row r="166" spans="8:8" x14ac:dyDescent="0.2">
      <c r="H166" s="4"/>
    </row>
    <row r="167" spans="8:8" x14ac:dyDescent="0.2">
      <c r="H167" s="4"/>
    </row>
    <row r="168" spans="8:8" x14ac:dyDescent="0.2">
      <c r="H168" s="4"/>
    </row>
    <row r="169" spans="8:8" x14ac:dyDescent="0.2">
      <c r="H169" s="4"/>
    </row>
    <row r="170" spans="8:8" x14ac:dyDescent="0.2">
      <c r="H170" s="4"/>
    </row>
    <row r="171" spans="8:8" x14ac:dyDescent="0.2">
      <c r="H171" s="4"/>
    </row>
    <row r="172" spans="8:8" x14ac:dyDescent="0.2">
      <c r="H172" s="4"/>
    </row>
    <row r="173" spans="8:8" x14ac:dyDescent="0.2">
      <c r="H173" s="4"/>
    </row>
    <row r="174" spans="8:8" x14ac:dyDescent="0.2">
      <c r="H174" s="4"/>
    </row>
    <row r="175" spans="8:8" x14ac:dyDescent="0.2">
      <c r="H175" s="4"/>
    </row>
    <row r="176" spans="8:8" x14ac:dyDescent="0.2">
      <c r="H176" s="4"/>
    </row>
    <row r="177" spans="8:8" x14ac:dyDescent="0.2">
      <c r="H177" s="4"/>
    </row>
    <row r="178" spans="8:8" x14ac:dyDescent="0.2">
      <c r="H178" s="4"/>
    </row>
    <row r="179" spans="8:8" x14ac:dyDescent="0.2">
      <c r="H179" s="4"/>
    </row>
    <row r="180" spans="8:8" x14ac:dyDescent="0.2">
      <c r="H180" s="4"/>
    </row>
    <row r="181" spans="8:8" x14ac:dyDescent="0.2">
      <c r="H181" s="4"/>
    </row>
    <row r="182" spans="8:8" x14ac:dyDescent="0.2">
      <c r="H182" s="4"/>
    </row>
    <row r="183" spans="8:8" x14ac:dyDescent="0.2">
      <c r="H183" s="4"/>
    </row>
    <row r="184" spans="8:8" x14ac:dyDescent="0.2">
      <c r="H184" s="4"/>
    </row>
    <row r="185" spans="8:8" x14ac:dyDescent="0.2">
      <c r="H185" s="4"/>
    </row>
    <row r="186" spans="8:8" x14ac:dyDescent="0.2">
      <c r="H186" s="4"/>
    </row>
    <row r="187" spans="8:8" x14ac:dyDescent="0.2">
      <c r="H187" s="4"/>
    </row>
    <row r="188" spans="8:8" x14ac:dyDescent="0.2">
      <c r="H188" s="4"/>
    </row>
    <row r="189" spans="8:8" x14ac:dyDescent="0.2">
      <c r="H189" s="4"/>
    </row>
    <row r="190" spans="8:8" x14ac:dyDescent="0.2">
      <c r="H190" s="4"/>
    </row>
    <row r="191" spans="8:8" x14ac:dyDescent="0.2">
      <c r="H191" s="4"/>
    </row>
    <row r="192" spans="8:8" x14ac:dyDescent="0.2">
      <c r="H192" s="4"/>
    </row>
    <row r="193" spans="8:8" x14ac:dyDescent="0.2">
      <c r="H193" s="4"/>
    </row>
    <row r="194" spans="8:8" x14ac:dyDescent="0.2">
      <c r="H194" s="4"/>
    </row>
    <row r="195" spans="8:8" x14ac:dyDescent="0.2">
      <c r="H195" s="4"/>
    </row>
    <row r="196" spans="8:8" x14ac:dyDescent="0.2">
      <c r="H196" s="4"/>
    </row>
    <row r="197" spans="8:8" x14ac:dyDescent="0.2">
      <c r="H197" s="4"/>
    </row>
    <row r="198" spans="8:8" x14ac:dyDescent="0.2">
      <c r="H198" s="4"/>
    </row>
    <row r="199" spans="8:8" x14ac:dyDescent="0.2">
      <c r="H199" s="4"/>
    </row>
    <row r="200" spans="8:8" x14ac:dyDescent="0.2">
      <c r="H200" s="4"/>
    </row>
    <row r="201" spans="8:8" x14ac:dyDescent="0.2">
      <c r="H201" s="4"/>
    </row>
    <row r="202" spans="8:8" x14ac:dyDescent="0.2">
      <c r="H202" s="4"/>
    </row>
    <row r="203" spans="8:8" x14ac:dyDescent="0.2">
      <c r="H203" s="4"/>
    </row>
    <row r="204" spans="8:8" x14ac:dyDescent="0.2">
      <c r="H204" s="4"/>
    </row>
    <row r="205" spans="8:8" x14ac:dyDescent="0.2">
      <c r="H205" s="4"/>
    </row>
    <row r="206" spans="8:8" x14ac:dyDescent="0.2">
      <c r="H206" s="4"/>
    </row>
    <row r="207" spans="8:8" x14ac:dyDescent="0.2">
      <c r="H207" s="4"/>
    </row>
    <row r="208" spans="8:8" x14ac:dyDescent="0.2">
      <c r="H208" s="4"/>
    </row>
    <row r="209" spans="8:8" x14ac:dyDescent="0.2">
      <c r="H209" s="4"/>
    </row>
    <row r="210" spans="8:8" x14ac:dyDescent="0.2">
      <c r="H210" s="4"/>
    </row>
    <row r="211" spans="8:8" x14ac:dyDescent="0.2">
      <c r="H211" s="4"/>
    </row>
    <row r="212" spans="8:8" x14ac:dyDescent="0.2">
      <c r="H212" s="4"/>
    </row>
    <row r="213" spans="8:8" x14ac:dyDescent="0.2">
      <c r="H213" s="4"/>
    </row>
    <row r="214" spans="8:8" x14ac:dyDescent="0.2">
      <c r="H214" s="4"/>
    </row>
    <row r="215" spans="8:8" x14ac:dyDescent="0.2">
      <c r="H215" s="4"/>
    </row>
    <row r="216" spans="8:8" x14ac:dyDescent="0.2">
      <c r="H216" s="4"/>
    </row>
    <row r="217" spans="8:8" x14ac:dyDescent="0.2">
      <c r="H217" s="4"/>
    </row>
    <row r="218" spans="8:8" x14ac:dyDescent="0.2">
      <c r="H218" s="4"/>
    </row>
    <row r="219" spans="8:8" x14ac:dyDescent="0.2">
      <c r="H219" s="4"/>
    </row>
    <row r="220" spans="8:8" x14ac:dyDescent="0.2">
      <c r="H220" s="4"/>
    </row>
    <row r="221" spans="8:8" x14ac:dyDescent="0.2">
      <c r="H221" s="4"/>
    </row>
    <row r="222" spans="8:8" x14ac:dyDescent="0.2">
      <c r="H222" s="4"/>
    </row>
    <row r="223" spans="8:8" x14ac:dyDescent="0.2">
      <c r="H223" s="4"/>
    </row>
    <row r="224" spans="8:8" x14ac:dyDescent="0.2">
      <c r="H224" s="4"/>
    </row>
    <row r="225" spans="8:8" x14ac:dyDescent="0.2">
      <c r="H225" s="4"/>
    </row>
    <row r="226" spans="8:8" x14ac:dyDescent="0.2">
      <c r="H226" s="4"/>
    </row>
    <row r="227" spans="8:8" x14ac:dyDescent="0.2">
      <c r="H227" s="4"/>
    </row>
    <row r="228" spans="8:8" x14ac:dyDescent="0.2">
      <c r="H228" s="4"/>
    </row>
    <row r="229" spans="8:8" x14ac:dyDescent="0.2">
      <c r="H229" s="4"/>
    </row>
    <row r="230" spans="8:8" x14ac:dyDescent="0.2">
      <c r="H230" s="4"/>
    </row>
    <row r="231" spans="8:8" x14ac:dyDescent="0.2">
      <c r="H231" s="4"/>
    </row>
    <row r="232" spans="8:8" x14ac:dyDescent="0.2">
      <c r="H232" s="4"/>
    </row>
    <row r="233" spans="8:8" x14ac:dyDescent="0.2">
      <c r="H233" s="4"/>
    </row>
    <row r="234" spans="8:8" x14ac:dyDescent="0.2">
      <c r="H234" s="4"/>
    </row>
    <row r="235" spans="8:8" x14ac:dyDescent="0.2">
      <c r="H235" s="4"/>
    </row>
    <row r="236" spans="8:8" x14ac:dyDescent="0.2">
      <c r="H236" s="4"/>
    </row>
    <row r="237" spans="8:8" x14ac:dyDescent="0.2">
      <c r="H237" s="4"/>
    </row>
    <row r="238" spans="8:8" x14ac:dyDescent="0.2">
      <c r="H238" s="4"/>
    </row>
    <row r="239" spans="8:8" x14ac:dyDescent="0.2">
      <c r="H239" s="4"/>
    </row>
    <row r="240" spans="8:8" x14ac:dyDescent="0.2">
      <c r="H240" s="4"/>
    </row>
    <row r="241" spans="8:8" x14ac:dyDescent="0.2">
      <c r="H241" s="4"/>
    </row>
    <row r="242" spans="8:8" x14ac:dyDescent="0.2">
      <c r="H242" s="4"/>
    </row>
    <row r="243" spans="8:8" x14ac:dyDescent="0.2">
      <c r="H243" s="4"/>
    </row>
    <row r="244" spans="8:8" x14ac:dyDescent="0.2">
      <c r="H244" s="4"/>
    </row>
    <row r="245" spans="8:8" x14ac:dyDescent="0.2">
      <c r="H245" s="4"/>
    </row>
    <row r="246" spans="8:8" x14ac:dyDescent="0.2">
      <c r="H246" s="4"/>
    </row>
    <row r="247" spans="8:8" x14ac:dyDescent="0.2">
      <c r="H247" s="4"/>
    </row>
    <row r="248" spans="8:8" x14ac:dyDescent="0.2">
      <c r="H248" s="4"/>
    </row>
    <row r="249" spans="8:8" x14ac:dyDescent="0.2">
      <c r="H249" s="4"/>
    </row>
    <row r="250" spans="8:8" x14ac:dyDescent="0.2">
      <c r="H250" s="4"/>
    </row>
    <row r="251" spans="8:8" x14ac:dyDescent="0.2">
      <c r="H251" s="4"/>
    </row>
    <row r="252" spans="8:8" x14ac:dyDescent="0.2">
      <c r="H252" s="4"/>
    </row>
    <row r="253" spans="8:8" x14ac:dyDescent="0.2">
      <c r="H253" s="4"/>
    </row>
    <row r="254" spans="8:8" x14ac:dyDescent="0.2">
      <c r="H254" s="4"/>
    </row>
    <row r="255" spans="8:8" x14ac:dyDescent="0.2">
      <c r="H255" s="4"/>
    </row>
    <row r="256" spans="8:8" x14ac:dyDescent="0.2">
      <c r="H256" s="4"/>
    </row>
    <row r="257" spans="8:8" x14ac:dyDescent="0.2">
      <c r="H257" s="4"/>
    </row>
    <row r="258" spans="8:8" x14ac:dyDescent="0.2">
      <c r="H258" s="4"/>
    </row>
    <row r="259" spans="8:8" x14ac:dyDescent="0.2">
      <c r="H259" s="4"/>
    </row>
    <row r="260" spans="8:8" x14ac:dyDescent="0.2">
      <c r="H260" s="4"/>
    </row>
    <row r="261" spans="8:8" x14ac:dyDescent="0.2">
      <c r="H261" s="4"/>
    </row>
    <row r="262" spans="8:8" x14ac:dyDescent="0.2">
      <c r="H262" s="4"/>
    </row>
    <row r="263" spans="8:8" x14ac:dyDescent="0.2">
      <c r="H263" s="4"/>
    </row>
    <row r="264" spans="8:8" x14ac:dyDescent="0.2">
      <c r="H264" s="4"/>
    </row>
    <row r="265" spans="8:8" x14ac:dyDescent="0.2">
      <c r="H265" s="4"/>
    </row>
    <row r="266" spans="8:8" x14ac:dyDescent="0.2">
      <c r="H266" s="4"/>
    </row>
    <row r="267" spans="8:8" x14ac:dyDescent="0.2">
      <c r="H267" s="4"/>
    </row>
    <row r="268" spans="8:8" x14ac:dyDescent="0.2">
      <c r="H268" s="4"/>
    </row>
    <row r="269" spans="8:8" x14ac:dyDescent="0.2">
      <c r="H269" s="4"/>
    </row>
    <row r="270" spans="8:8" x14ac:dyDescent="0.2">
      <c r="H270" s="4"/>
    </row>
    <row r="271" spans="8:8" x14ac:dyDescent="0.2">
      <c r="H271" s="4"/>
    </row>
    <row r="272" spans="8:8" x14ac:dyDescent="0.2">
      <c r="H272" s="4"/>
    </row>
    <row r="273" spans="8:8" x14ac:dyDescent="0.2">
      <c r="H273" s="4"/>
    </row>
    <row r="274" spans="8:8" x14ac:dyDescent="0.2">
      <c r="H274" s="4"/>
    </row>
    <row r="275" spans="8:8" x14ac:dyDescent="0.2">
      <c r="H275" s="4"/>
    </row>
    <row r="276" spans="8:8" x14ac:dyDescent="0.2">
      <c r="H276" s="4"/>
    </row>
    <row r="277" spans="8:8" x14ac:dyDescent="0.2">
      <c r="H277" s="4"/>
    </row>
    <row r="278" spans="8:8" x14ac:dyDescent="0.2">
      <c r="H278" s="4"/>
    </row>
    <row r="279" spans="8:8" x14ac:dyDescent="0.2">
      <c r="H279" s="4"/>
    </row>
    <row r="280" spans="8:8" x14ac:dyDescent="0.2">
      <c r="H280" s="4"/>
    </row>
    <row r="281" spans="8:8" x14ac:dyDescent="0.2">
      <c r="H281" s="4"/>
    </row>
    <row r="282" spans="8:8" x14ac:dyDescent="0.2">
      <c r="H282" s="4"/>
    </row>
    <row r="283" spans="8:8" x14ac:dyDescent="0.2">
      <c r="H283" s="4"/>
    </row>
    <row r="284" spans="8:8" x14ac:dyDescent="0.2">
      <c r="H284" s="4"/>
    </row>
    <row r="285" spans="8:8" x14ac:dyDescent="0.2">
      <c r="H285" s="4"/>
    </row>
    <row r="286" spans="8:8" x14ac:dyDescent="0.2">
      <c r="H286" s="4"/>
    </row>
    <row r="287" spans="8:8" x14ac:dyDescent="0.2">
      <c r="H287" s="4"/>
    </row>
    <row r="288" spans="8:8" x14ac:dyDescent="0.2">
      <c r="H288" s="4"/>
    </row>
    <row r="289" spans="8:8" x14ac:dyDescent="0.2">
      <c r="H289" s="4"/>
    </row>
    <row r="290" spans="8:8" x14ac:dyDescent="0.2">
      <c r="H290" s="4"/>
    </row>
    <row r="291" spans="8:8" x14ac:dyDescent="0.2">
      <c r="H291" s="4"/>
    </row>
    <row r="292" spans="8:8" x14ac:dyDescent="0.2">
      <c r="H292" s="4"/>
    </row>
    <row r="293" spans="8:8" x14ac:dyDescent="0.2">
      <c r="H293" s="4"/>
    </row>
    <row r="294" spans="8:8" x14ac:dyDescent="0.2">
      <c r="H294" s="4"/>
    </row>
    <row r="295" spans="8:8" x14ac:dyDescent="0.2">
      <c r="H295" s="4"/>
    </row>
    <row r="296" spans="8:8" x14ac:dyDescent="0.2">
      <c r="H296" s="4"/>
    </row>
    <row r="297" spans="8:8" x14ac:dyDescent="0.2">
      <c r="H297" s="4"/>
    </row>
    <row r="298" spans="8:8" x14ac:dyDescent="0.2">
      <c r="H298" s="4"/>
    </row>
    <row r="299" spans="8:8" x14ac:dyDescent="0.2">
      <c r="H299" s="4"/>
    </row>
    <row r="300" spans="8:8" x14ac:dyDescent="0.2">
      <c r="H300" s="4"/>
    </row>
    <row r="301" spans="8:8" x14ac:dyDescent="0.2">
      <c r="H301" s="4"/>
    </row>
    <row r="302" spans="8:8" x14ac:dyDescent="0.2">
      <c r="H302" s="4"/>
    </row>
    <row r="303" spans="8:8" x14ac:dyDescent="0.2">
      <c r="H303" s="4"/>
    </row>
    <row r="304" spans="8:8" x14ac:dyDescent="0.2">
      <c r="H304" s="4"/>
    </row>
    <row r="305" spans="8:8" x14ac:dyDescent="0.2">
      <c r="H305" s="4"/>
    </row>
    <row r="306" spans="8:8" x14ac:dyDescent="0.2">
      <c r="H306" s="4"/>
    </row>
    <row r="307" spans="8:8" x14ac:dyDescent="0.2">
      <c r="H307" s="4"/>
    </row>
    <row r="308" spans="8:8" x14ac:dyDescent="0.2">
      <c r="H308" s="4"/>
    </row>
    <row r="309" spans="8:8" x14ac:dyDescent="0.2">
      <c r="H309" s="4"/>
    </row>
    <row r="310" spans="8:8" x14ac:dyDescent="0.2">
      <c r="H310" s="4"/>
    </row>
    <row r="311" spans="8:8" x14ac:dyDescent="0.2">
      <c r="H311" s="4"/>
    </row>
    <row r="312" spans="8:8" x14ac:dyDescent="0.2">
      <c r="H312" s="4"/>
    </row>
    <row r="313" spans="8:8" x14ac:dyDescent="0.2">
      <c r="H313" s="4"/>
    </row>
    <row r="314" spans="8:8" x14ac:dyDescent="0.2">
      <c r="H314" s="4"/>
    </row>
    <row r="315" spans="8:8" x14ac:dyDescent="0.2">
      <c r="H315" s="4"/>
    </row>
    <row r="316" spans="8:8" x14ac:dyDescent="0.2">
      <c r="H316" s="4"/>
    </row>
    <row r="317" spans="8:8" x14ac:dyDescent="0.2">
      <c r="H317" s="4"/>
    </row>
    <row r="318" spans="8:8" x14ac:dyDescent="0.2">
      <c r="H318" s="4"/>
    </row>
    <row r="319" spans="8:8" x14ac:dyDescent="0.2">
      <c r="H319" s="4"/>
    </row>
    <row r="320" spans="8:8" x14ac:dyDescent="0.2">
      <c r="H320" s="4"/>
    </row>
    <row r="321" spans="8:8" x14ac:dyDescent="0.2">
      <c r="H321" s="4"/>
    </row>
    <row r="322" spans="8:8" x14ac:dyDescent="0.2">
      <c r="H322" s="4"/>
    </row>
    <row r="323" spans="8:8" x14ac:dyDescent="0.2">
      <c r="H323" s="4"/>
    </row>
    <row r="324" spans="8:8" x14ac:dyDescent="0.2">
      <c r="H324" s="4"/>
    </row>
    <row r="325" spans="8:8" x14ac:dyDescent="0.2">
      <c r="H325" s="4"/>
    </row>
    <row r="326" spans="8:8" x14ac:dyDescent="0.2">
      <c r="H326" s="4"/>
    </row>
    <row r="327" spans="8:8" x14ac:dyDescent="0.2">
      <c r="H327" s="4"/>
    </row>
    <row r="328" spans="8:8" x14ac:dyDescent="0.2">
      <c r="H328" s="4"/>
    </row>
    <row r="329" spans="8:8" x14ac:dyDescent="0.2">
      <c r="H329" s="4"/>
    </row>
    <row r="330" spans="8:8" x14ac:dyDescent="0.2">
      <c r="H330" s="4"/>
    </row>
    <row r="331" spans="8:8" x14ac:dyDescent="0.2">
      <c r="H331" s="4"/>
    </row>
    <row r="332" spans="8:8" x14ac:dyDescent="0.2">
      <c r="H332" s="4"/>
    </row>
    <row r="333" spans="8:8" x14ac:dyDescent="0.2">
      <c r="H333" s="4"/>
    </row>
    <row r="334" spans="8:8" x14ac:dyDescent="0.2">
      <c r="H334" s="4"/>
    </row>
    <row r="335" spans="8:8" x14ac:dyDescent="0.2">
      <c r="H335" s="4"/>
    </row>
    <row r="336" spans="8:8" x14ac:dyDescent="0.2">
      <c r="H336" s="4"/>
    </row>
    <row r="337" spans="8:8" x14ac:dyDescent="0.2">
      <c r="H337" s="4"/>
    </row>
    <row r="338" spans="8:8" x14ac:dyDescent="0.2">
      <c r="H338" s="4"/>
    </row>
    <row r="339" spans="8:8" x14ac:dyDescent="0.2">
      <c r="H339" s="4"/>
    </row>
    <row r="340" spans="8:8" x14ac:dyDescent="0.2">
      <c r="H340" s="4"/>
    </row>
    <row r="341" spans="8:8" x14ac:dyDescent="0.2">
      <c r="H341" s="4"/>
    </row>
    <row r="342" spans="8:8" x14ac:dyDescent="0.2">
      <c r="H342" s="4"/>
    </row>
    <row r="343" spans="8:8" x14ac:dyDescent="0.2">
      <c r="H343" s="4"/>
    </row>
    <row r="344" spans="8:8" x14ac:dyDescent="0.2">
      <c r="H344" s="4"/>
    </row>
    <row r="345" spans="8:8" x14ac:dyDescent="0.2">
      <c r="H345" s="4"/>
    </row>
    <row r="346" spans="8:8" x14ac:dyDescent="0.2">
      <c r="H346" s="4"/>
    </row>
    <row r="347" spans="8:8" x14ac:dyDescent="0.2">
      <c r="H347" s="4"/>
    </row>
    <row r="348" spans="8:8" x14ac:dyDescent="0.2">
      <c r="H348" s="4"/>
    </row>
    <row r="349" spans="8:8" x14ac:dyDescent="0.2">
      <c r="H349" s="4"/>
    </row>
    <row r="350" spans="8:8" x14ac:dyDescent="0.2">
      <c r="H350" s="4"/>
    </row>
    <row r="351" spans="8:8" x14ac:dyDescent="0.2">
      <c r="H351" s="4"/>
    </row>
    <row r="352" spans="8:8" x14ac:dyDescent="0.2">
      <c r="H352" s="4"/>
    </row>
    <row r="353" spans="8:8" x14ac:dyDescent="0.2">
      <c r="H353" s="4"/>
    </row>
    <row r="354" spans="8:8" x14ac:dyDescent="0.2">
      <c r="H354" s="4"/>
    </row>
    <row r="355" spans="8:8" x14ac:dyDescent="0.2">
      <c r="H355" s="4"/>
    </row>
    <row r="356" spans="8:8" x14ac:dyDescent="0.2">
      <c r="H356" s="4"/>
    </row>
    <row r="357" spans="8:8" x14ac:dyDescent="0.2">
      <c r="H357" s="4"/>
    </row>
    <row r="358" spans="8:8" x14ac:dyDescent="0.2">
      <c r="H358" s="4"/>
    </row>
    <row r="359" spans="8:8" x14ac:dyDescent="0.2">
      <c r="H359" s="4"/>
    </row>
    <row r="360" spans="8:8" x14ac:dyDescent="0.2">
      <c r="H360" s="4"/>
    </row>
    <row r="361" spans="8:8" x14ac:dyDescent="0.2">
      <c r="H361" s="4"/>
    </row>
    <row r="362" spans="8:8" x14ac:dyDescent="0.2">
      <c r="H362" s="4"/>
    </row>
    <row r="363" spans="8:8" x14ac:dyDescent="0.2">
      <c r="H363" s="4"/>
    </row>
    <row r="364" spans="8:8" x14ac:dyDescent="0.2">
      <c r="H364" s="4"/>
    </row>
    <row r="365" spans="8:8" x14ac:dyDescent="0.2">
      <c r="H365" s="4"/>
    </row>
    <row r="366" spans="8:8" x14ac:dyDescent="0.2">
      <c r="H366" s="4"/>
    </row>
    <row r="367" spans="8:8" x14ac:dyDescent="0.2">
      <c r="H367" s="4"/>
    </row>
    <row r="368" spans="8:8" x14ac:dyDescent="0.2">
      <c r="H368" s="4"/>
    </row>
    <row r="369" spans="8:8" x14ac:dyDescent="0.2">
      <c r="H369" s="4"/>
    </row>
    <row r="370" spans="8:8" x14ac:dyDescent="0.2">
      <c r="H370" s="4"/>
    </row>
    <row r="371" spans="8:8" x14ac:dyDescent="0.2">
      <c r="H371" s="4"/>
    </row>
    <row r="372" spans="8:8" x14ac:dyDescent="0.2">
      <c r="H372" s="4"/>
    </row>
    <row r="373" spans="8:8" x14ac:dyDescent="0.2">
      <c r="H373" s="4"/>
    </row>
    <row r="374" spans="8:8" x14ac:dyDescent="0.2">
      <c r="H374" s="4"/>
    </row>
    <row r="375" spans="8:8" x14ac:dyDescent="0.2">
      <c r="H375" s="4"/>
    </row>
    <row r="376" spans="8:8" x14ac:dyDescent="0.2">
      <c r="H376" s="4"/>
    </row>
    <row r="377" spans="8:8" x14ac:dyDescent="0.2">
      <c r="H377" s="4"/>
    </row>
    <row r="378" spans="8:8" x14ac:dyDescent="0.2">
      <c r="H378" s="4"/>
    </row>
    <row r="379" spans="8:8" x14ac:dyDescent="0.2">
      <c r="H379" s="4"/>
    </row>
    <row r="380" spans="8:8" x14ac:dyDescent="0.2">
      <c r="H380" s="4"/>
    </row>
    <row r="381" spans="8:8" x14ac:dyDescent="0.2">
      <c r="H381" s="4"/>
    </row>
    <row r="382" spans="8:8" x14ac:dyDescent="0.2">
      <c r="H382" s="4"/>
    </row>
    <row r="383" spans="8:8" x14ac:dyDescent="0.2">
      <c r="H383" s="4"/>
    </row>
    <row r="384" spans="8:8" x14ac:dyDescent="0.2">
      <c r="H384" s="4"/>
    </row>
    <row r="385" spans="8:8" x14ac:dyDescent="0.2">
      <c r="H385" s="4"/>
    </row>
    <row r="386" spans="8:8" x14ac:dyDescent="0.2">
      <c r="H386" s="4"/>
    </row>
    <row r="387" spans="8:8" x14ac:dyDescent="0.2">
      <c r="H387" s="4"/>
    </row>
    <row r="388" spans="8:8" x14ac:dyDescent="0.2">
      <c r="H388" s="4"/>
    </row>
    <row r="389" spans="8:8" x14ac:dyDescent="0.2">
      <c r="H389" s="4"/>
    </row>
    <row r="390" spans="8:8" x14ac:dyDescent="0.2">
      <c r="H390" s="4"/>
    </row>
    <row r="391" spans="8:8" x14ac:dyDescent="0.2">
      <c r="H391" s="4"/>
    </row>
    <row r="392" spans="8:8" x14ac:dyDescent="0.2">
      <c r="H392" s="4"/>
    </row>
    <row r="393" spans="8:8" x14ac:dyDescent="0.2">
      <c r="H393" s="4"/>
    </row>
    <row r="394" spans="8:8" x14ac:dyDescent="0.2">
      <c r="H394" s="4"/>
    </row>
    <row r="395" spans="8:8" x14ac:dyDescent="0.2">
      <c r="H395" s="4"/>
    </row>
    <row r="396" spans="8:8" x14ac:dyDescent="0.2">
      <c r="H396" s="4"/>
    </row>
    <row r="397" spans="8:8" x14ac:dyDescent="0.2">
      <c r="H397" s="4"/>
    </row>
    <row r="398" spans="8:8" x14ac:dyDescent="0.2">
      <c r="H398" s="4"/>
    </row>
    <row r="399" spans="8:8" x14ac:dyDescent="0.2">
      <c r="H399" s="4"/>
    </row>
    <row r="400" spans="8:8" x14ac:dyDescent="0.2">
      <c r="H400" s="4"/>
    </row>
    <row r="401" spans="8:8" x14ac:dyDescent="0.2">
      <c r="H401" s="4"/>
    </row>
    <row r="402" spans="8:8" x14ac:dyDescent="0.2">
      <c r="H402" s="4"/>
    </row>
    <row r="403" spans="8:8" x14ac:dyDescent="0.2">
      <c r="H403" s="4"/>
    </row>
    <row r="404" spans="8:8" x14ac:dyDescent="0.2">
      <c r="H404" s="4"/>
    </row>
    <row r="405" spans="8:8" x14ac:dyDescent="0.2">
      <c r="H405" s="4"/>
    </row>
    <row r="406" spans="8:8" x14ac:dyDescent="0.2">
      <c r="H406" s="4"/>
    </row>
    <row r="407" spans="8:8" x14ac:dyDescent="0.2">
      <c r="H407" s="4"/>
    </row>
    <row r="408" spans="8:8" x14ac:dyDescent="0.2">
      <c r="H408" s="4"/>
    </row>
    <row r="409" spans="8:8" x14ac:dyDescent="0.2">
      <c r="H409" s="4"/>
    </row>
    <row r="410" spans="8:8" x14ac:dyDescent="0.2">
      <c r="H410" s="4"/>
    </row>
    <row r="411" spans="8:8" x14ac:dyDescent="0.2">
      <c r="H411" s="4"/>
    </row>
    <row r="412" spans="8:8" x14ac:dyDescent="0.2">
      <c r="H412" s="4"/>
    </row>
    <row r="413" spans="8:8" x14ac:dyDescent="0.2">
      <c r="H413" s="4"/>
    </row>
    <row r="414" spans="8:8" x14ac:dyDescent="0.2">
      <c r="H414" s="4"/>
    </row>
    <row r="415" spans="8:8" x14ac:dyDescent="0.2">
      <c r="H415" s="4"/>
    </row>
    <row r="416" spans="8:8" x14ac:dyDescent="0.2">
      <c r="H416" s="4"/>
    </row>
    <row r="417" spans="8:8" x14ac:dyDescent="0.2">
      <c r="H417" s="4"/>
    </row>
    <row r="418" spans="8:8" x14ac:dyDescent="0.2">
      <c r="H418" s="4"/>
    </row>
    <row r="419" spans="8:8" x14ac:dyDescent="0.2">
      <c r="H419" s="4"/>
    </row>
    <row r="420" spans="8:8" x14ac:dyDescent="0.2">
      <c r="H420" s="4"/>
    </row>
    <row r="421" spans="8:8" x14ac:dyDescent="0.2">
      <c r="H421" s="4"/>
    </row>
    <row r="422" spans="8:8" x14ac:dyDescent="0.2">
      <c r="H422" s="4"/>
    </row>
    <row r="423" spans="8:8" x14ac:dyDescent="0.2">
      <c r="H423" s="4"/>
    </row>
    <row r="424" spans="8:8" x14ac:dyDescent="0.2">
      <c r="H424" s="4"/>
    </row>
    <row r="425" spans="8:8" x14ac:dyDescent="0.2">
      <c r="H425" s="4"/>
    </row>
    <row r="426" spans="8:8" x14ac:dyDescent="0.2">
      <c r="H426" s="4"/>
    </row>
    <row r="427" spans="8:8" x14ac:dyDescent="0.2">
      <c r="H427" s="4"/>
    </row>
    <row r="428" spans="8:8" x14ac:dyDescent="0.2">
      <c r="H428" s="4"/>
    </row>
    <row r="429" spans="8:8" x14ac:dyDescent="0.2">
      <c r="H429" s="4"/>
    </row>
    <row r="430" spans="8:8" x14ac:dyDescent="0.2">
      <c r="H430" s="4"/>
    </row>
    <row r="431" spans="8:8" x14ac:dyDescent="0.2">
      <c r="H431" s="4"/>
    </row>
    <row r="432" spans="8:8" x14ac:dyDescent="0.2">
      <c r="H432" s="4"/>
    </row>
    <row r="433" spans="8:8" x14ac:dyDescent="0.2">
      <c r="H433" s="4"/>
    </row>
    <row r="434" spans="8:8" x14ac:dyDescent="0.2">
      <c r="H434" s="4"/>
    </row>
    <row r="435" spans="8:8" x14ac:dyDescent="0.2">
      <c r="H435" s="4"/>
    </row>
    <row r="436" spans="8:8" x14ac:dyDescent="0.2">
      <c r="H436" s="4"/>
    </row>
    <row r="437" spans="8:8" x14ac:dyDescent="0.2">
      <c r="H437" s="4"/>
    </row>
    <row r="438" spans="8:8" x14ac:dyDescent="0.2">
      <c r="H438" s="4"/>
    </row>
    <row r="439" spans="8:8" x14ac:dyDescent="0.2">
      <c r="H439" s="4"/>
    </row>
    <row r="440" spans="8:8" x14ac:dyDescent="0.2">
      <c r="H440" s="4"/>
    </row>
    <row r="441" spans="8:8" x14ac:dyDescent="0.2">
      <c r="H441" s="4"/>
    </row>
    <row r="442" spans="8:8" x14ac:dyDescent="0.2">
      <c r="H442" s="4"/>
    </row>
    <row r="443" spans="8:8" x14ac:dyDescent="0.2">
      <c r="H443" s="4"/>
    </row>
    <row r="444" spans="8:8" x14ac:dyDescent="0.2">
      <c r="H444" s="4"/>
    </row>
    <row r="445" spans="8:8" x14ac:dyDescent="0.2">
      <c r="H445" s="4"/>
    </row>
    <row r="446" spans="8:8" x14ac:dyDescent="0.2">
      <c r="H446" s="4"/>
    </row>
    <row r="447" spans="8:8" x14ac:dyDescent="0.2">
      <c r="H447" s="4"/>
    </row>
    <row r="448" spans="8:8" x14ac:dyDescent="0.2">
      <c r="H448" s="4"/>
    </row>
    <row r="449" spans="8:8" x14ac:dyDescent="0.2">
      <c r="H449" s="4"/>
    </row>
    <row r="450" spans="8:8" x14ac:dyDescent="0.2">
      <c r="H450" s="4"/>
    </row>
    <row r="451" spans="8:8" x14ac:dyDescent="0.2">
      <c r="H451" s="4"/>
    </row>
    <row r="452" spans="8:8" x14ac:dyDescent="0.2">
      <c r="H452" s="4"/>
    </row>
    <row r="453" spans="8:8" x14ac:dyDescent="0.2">
      <c r="H453" s="4"/>
    </row>
    <row r="454" spans="8:8" x14ac:dyDescent="0.2">
      <c r="H454" s="4"/>
    </row>
    <row r="455" spans="8:8" x14ac:dyDescent="0.2">
      <c r="H455" s="4"/>
    </row>
    <row r="456" spans="8:8" x14ac:dyDescent="0.2">
      <c r="H456" s="4"/>
    </row>
    <row r="457" spans="8:8" x14ac:dyDescent="0.2">
      <c r="H457" s="4"/>
    </row>
    <row r="458" spans="8:8" x14ac:dyDescent="0.2">
      <c r="H458" s="4"/>
    </row>
    <row r="459" spans="8:8" x14ac:dyDescent="0.2">
      <c r="H459" s="4"/>
    </row>
    <row r="460" spans="8:8" x14ac:dyDescent="0.2">
      <c r="H460" s="4"/>
    </row>
    <row r="461" spans="8:8" x14ac:dyDescent="0.2">
      <c r="H461" s="4"/>
    </row>
    <row r="462" spans="8:8" x14ac:dyDescent="0.2">
      <c r="H462" s="4"/>
    </row>
    <row r="463" spans="8:8" x14ac:dyDescent="0.2">
      <c r="H463" s="4"/>
    </row>
    <row r="464" spans="8:8" x14ac:dyDescent="0.2">
      <c r="H464" s="4"/>
    </row>
    <row r="465" spans="8:8" x14ac:dyDescent="0.2">
      <c r="H465" s="4"/>
    </row>
    <row r="466" spans="8:8" x14ac:dyDescent="0.2">
      <c r="H466" s="4"/>
    </row>
    <row r="467" spans="8:8" x14ac:dyDescent="0.2">
      <c r="H467" s="4"/>
    </row>
    <row r="468" spans="8:8" x14ac:dyDescent="0.2">
      <c r="H468" s="4"/>
    </row>
    <row r="469" spans="8:8" x14ac:dyDescent="0.2">
      <c r="H469" s="4"/>
    </row>
    <row r="470" spans="8:8" x14ac:dyDescent="0.2">
      <c r="H470" s="4"/>
    </row>
    <row r="471" spans="8:8" x14ac:dyDescent="0.2">
      <c r="H471" s="4"/>
    </row>
    <row r="472" spans="8:8" x14ac:dyDescent="0.2">
      <c r="H472" s="4"/>
    </row>
    <row r="473" spans="8:8" x14ac:dyDescent="0.2">
      <c r="H473" s="4"/>
    </row>
    <row r="474" spans="8:8" x14ac:dyDescent="0.2">
      <c r="H474" s="4"/>
    </row>
    <row r="475" spans="8:8" x14ac:dyDescent="0.2">
      <c r="H475" s="4"/>
    </row>
    <row r="476" spans="8:8" x14ac:dyDescent="0.2">
      <c r="H476" s="4"/>
    </row>
    <row r="477" spans="8:8" x14ac:dyDescent="0.2">
      <c r="H477" s="4"/>
    </row>
    <row r="478" spans="8:8" x14ac:dyDescent="0.2">
      <c r="H478" s="4"/>
    </row>
    <row r="479" spans="8:8" x14ac:dyDescent="0.2">
      <c r="H479" s="4"/>
    </row>
    <row r="480" spans="8:8" x14ac:dyDescent="0.2">
      <c r="H480" s="4"/>
    </row>
    <row r="481" spans="8:8" x14ac:dyDescent="0.2">
      <c r="H481" s="4"/>
    </row>
    <row r="482" spans="8:8" x14ac:dyDescent="0.2">
      <c r="H482" s="4"/>
    </row>
    <row r="483" spans="8:8" x14ac:dyDescent="0.2">
      <c r="H483" s="4"/>
    </row>
    <row r="484" spans="8:8" x14ac:dyDescent="0.2">
      <c r="H484" s="4"/>
    </row>
    <row r="485" spans="8:8" x14ac:dyDescent="0.2">
      <c r="H485" s="4"/>
    </row>
    <row r="486" spans="8:8" x14ac:dyDescent="0.2">
      <c r="H486" s="4"/>
    </row>
    <row r="487" spans="8:8" x14ac:dyDescent="0.2">
      <c r="H487" s="4"/>
    </row>
    <row r="488" spans="8:8" x14ac:dyDescent="0.2">
      <c r="H488" s="4"/>
    </row>
    <row r="489" spans="8:8" x14ac:dyDescent="0.2">
      <c r="H489" s="4"/>
    </row>
    <row r="490" spans="8:8" x14ac:dyDescent="0.2">
      <c r="H490" s="4"/>
    </row>
    <row r="491" spans="8:8" x14ac:dyDescent="0.2">
      <c r="H491" s="4"/>
    </row>
    <row r="492" spans="8:8" x14ac:dyDescent="0.2">
      <c r="H492" s="4"/>
    </row>
    <row r="493" spans="8:8" x14ac:dyDescent="0.2">
      <c r="H493" s="4"/>
    </row>
    <row r="494" spans="8:8" x14ac:dyDescent="0.2">
      <c r="H494" s="4"/>
    </row>
    <row r="495" spans="8:8" x14ac:dyDescent="0.2">
      <c r="H495" s="4"/>
    </row>
    <row r="496" spans="8:8" x14ac:dyDescent="0.2">
      <c r="H496" s="4"/>
    </row>
    <row r="497" spans="8:8" x14ac:dyDescent="0.2">
      <c r="H497" s="4"/>
    </row>
    <row r="498" spans="8:8" x14ac:dyDescent="0.2">
      <c r="H498" s="4"/>
    </row>
    <row r="499" spans="8:8" x14ac:dyDescent="0.2">
      <c r="H499" s="4"/>
    </row>
    <row r="500" spans="8:8" x14ac:dyDescent="0.2">
      <c r="H500" s="4"/>
    </row>
    <row r="501" spans="8:8" x14ac:dyDescent="0.2">
      <c r="H501" s="4"/>
    </row>
    <row r="502" spans="8:8" x14ac:dyDescent="0.2">
      <c r="H502" s="4"/>
    </row>
    <row r="503" spans="8:8" x14ac:dyDescent="0.2">
      <c r="H503" s="4"/>
    </row>
    <row r="504" spans="8:8" x14ac:dyDescent="0.2">
      <c r="H504" s="4"/>
    </row>
    <row r="505" spans="8:8" x14ac:dyDescent="0.2">
      <c r="H505" s="4"/>
    </row>
    <row r="506" spans="8:8" x14ac:dyDescent="0.2">
      <c r="H506" s="4"/>
    </row>
    <row r="507" spans="8:8" x14ac:dyDescent="0.2">
      <c r="H507" s="4"/>
    </row>
    <row r="508" spans="8:8" x14ac:dyDescent="0.2">
      <c r="H508" s="4"/>
    </row>
    <row r="509" spans="8:8" x14ac:dyDescent="0.2">
      <c r="H509" s="4"/>
    </row>
    <row r="510" spans="8:8" x14ac:dyDescent="0.2">
      <c r="H510" s="4"/>
    </row>
    <row r="511" spans="8:8" x14ac:dyDescent="0.2">
      <c r="H511" s="4"/>
    </row>
    <row r="512" spans="8:8" x14ac:dyDescent="0.2">
      <c r="H512" s="4"/>
    </row>
    <row r="513" spans="8:8" x14ac:dyDescent="0.2">
      <c r="H513" s="4"/>
    </row>
    <row r="514" spans="8:8" x14ac:dyDescent="0.2">
      <c r="H514" s="4"/>
    </row>
    <row r="515" spans="8:8" x14ac:dyDescent="0.2">
      <c r="H515" s="4"/>
    </row>
    <row r="516" spans="8:8" x14ac:dyDescent="0.2">
      <c r="H516" s="4"/>
    </row>
    <row r="517" spans="8:8" x14ac:dyDescent="0.2">
      <c r="H517" s="4"/>
    </row>
    <row r="518" spans="8:8" x14ac:dyDescent="0.2">
      <c r="H518" s="4"/>
    </row>
    <row r="519" spans="8:8" x14ac:dyDescent="0.2">
      <c r="H519" s="4"/>
    </row>
    <row r="520" spans="8:8" x14ac:dyDescent="0.2">
      <c r="H520" s="4"/>
    </row>
    <row r="521" spans="8:8" x14ac:dyDescent="0.2">
      <c r="H521" s="4"/>
    </row>
    <row r="522" spans="8:8" x14ac:dyDescent="0.2">
      <c r="H522" s="4"/>
    </row>
    <row r="523" spans="8:8" x14ac:dyDescent="0.2">
      <c r="H523" s="4"/>
    </row>
    <row r="524" spans="8:8" x14ac:dyDescent="0.2">
      <c r="H524" s="4"/>
    </row>
    <row r="525" spans="8:8" x14ac:dyDescent="0.2">
      <c r="H525" s="4"/>
    </row>
    <row r="526" spans="8:8" x14ac:dyDescent="0.2">
      <c r="H526" s="4"/>
    </row>
    <row r="527" spans="8:8" x14ac:dyDescent="0.2">
      <c r="H527" s="4"/>
    </row>
    <row r="528" spans="8:8" x14ac:dyDescent="0.2">
      <c r="H528" s="4"/>
    </row>
    <row r="529" spans="8:8" x14ac:dyDescent="0.2">
      <c r="H529" s="4"/>
    </row>
    <row r="530" spans="8:8" x14ac:dyDescent="0.2">
      <c r="H530" s="4"/>
    </row>
    <row r="531" spans="8:8" x14ac:dyDescent="0.2">
      <c r="H531" s="4"/>
    </row>
    <row r="532" spans="8:8" x14ac:dyDescent="0.2">
      <c r="H532" s="4"/>
    </row>
    <row r="533" spans="8:8" x14ac:dyDescent="0.2">
      <c r="H533" s="4"/>
    </row>
    <row r="534" spans="8:8" x14ac:dyDescent="0.2">
      <c r="H534" s="4"/>
    </row>
    <row r="535" spans="8:8" x14ac:dyDescent="0.2">
      <c r="H535" s="4"/>
    </row>
    <row r="536" spans="8:8" x14ac:dyDescent="0.2">
      <c r="H536" s="4"/>
    </row>
    <row r="537" spans="8:8" x14ac:dyDescent="0.2">
      <c r="H537" s="4"/>
    </row>
    <row r="538" spans="8:8" x14ac:dyDescent="0.2">
      <c r="H538" s="4"/>
    </row>
    <row r="539" spans="8:8" x14ac:dyDescent="0.2">
      <c r="H539" s="4"/>
    </row>
    <row r="540" spans="8:8" x14ac:dyDescent="0.2">
      <c r="H540" s="4"/>
    </row>
    <row r="541" spans="8:8" x14ac:dyDescent="0.2">
      <c r="H541" s="4"/>
    </row>
    <row r="542" spans="8:8" x14ac:dyDescent="0.2">
      <c r="H542" s="4"/>
    </row>
    <row r="543" spans="8:8" x14ac:dyDescent="0.2">
      <c r="H543" s="4"/>
    </row>
    <row r="544" spans="8:8" x14ac:dyDescent="0.2">
      <c r="H544" s="4"/>
    </row>
    <row r="545" spans="8:8" x14ac:dyDescent="0.2">
      <c r="H545" s="4"/>
    </row>
    <row r="546" spans="8:8" x14ac:dyDescent="0.2">
      <c r="H546" s="4"/>
    </row>
    <row r="547" spans="8:8" x14ac:dyDescent="0.2">
      <c r="H547" s="4"/>
    </row>
    <row r="548" spans="8:8" x14ac:dyDescent="0.2">
      <c r="H548" s="4"/>
    </row>
    <row r="549" spans="8:8" x14ac:dyDescent="0.2">
      <c r="H549" s="4"/>
    </row>
    <row r="550" spans="8:8" x14ac:dyDescent="0.2">
      <c r="H550" s="4"/>
    </row>
    <row r="551" spans="8:8" x14ac:dyDescent="0.2">
      <c r="H551" s="4"/>
    </row>
    <row r="552" spans="8:8" x14ac:dyDescent="0.2">
      <c r="H552" s="4"/>
    </row>
    <row r="553" spans="8:8" x14ac:dyDescent="0.2">
      <c r="H553" s="4"/>
    </row>
    <row r="554" spans="8:8" x14ac:dyDescent="0.2">
      <c r="H554" s="4"/>
    </row>
    <row r="555" spans="8:8" x14ac:dyDescent="0.2">
      <c r="H555" s="4"/>
    </row>
    <row r="556" spans="8:8" x14ac:dyDescent="0.2">
      <c r="H556" s="4"/>
    </row>
    <row r="557" spans="8:8" x14ac:dyDescent="0.2">
      <c r="H557" s="4"/>
    </row>
    <row r="558" spans="8:8" x14ac:dyDescent="0.2">
      <c r="H558" s="4"/>
    </row>
    <row r="559" spans="8:8" x14ac:dyDescent="0.2">
      <c r="H559" s="4"/>
    </row>
    <row r="560" spans="8:8" x14ac:dyDescent="0.2">
      <c r="H560" s="4"/>
    </row>
    <row r="561" spans="8:8" x14ac:dyDescent="0.2">
      <c r="H561" s="4"/>
    </row>
    <row r="562" spans="8:8" x14ac:dyDescent="0.2">
      <c r="H562" s="4"/>
    </row>
    <row r="563" spans="8:8" x14ac:dyDescent="0.2">
      <c r="H563" s="4"/>
    </row>
    <row r="564" spans="8:8" x14ac:dyDescent="0.2">
      <c r="H564" s="4"/>
    </row>
    <row r="565" spans="8:8" x14ac:dyDescent="0.2">
      <c r="H565" s="4"/>
    </row>
    <row r="566" spans="8:8" x14ac:dyDescent="0.2">
      <c r="H566" s="4"/>
    </row>
    <row r="567" spans="8:8" x14ac:dyDescent="0.2">
      <c r="H567" s="4"/>
    </row>
    <row r="568" spans="8:8" x14ac:dyDescent="0.2">
      <c r="H568" s="4"/>
    </row>
    <row r="569" spans="8:8" x14ac:dyDescent="0.2">
      <c r="H569" s="4"/>
    </row>
    <row r="570" spans="8:8" x14ac:dyDescent="0.2">
      <c r="H570" s="4"/>
    </row>
    <row r="571" spans="8:8" x14ac:dyDescent="0.2">
      <c r="H571" s="4"/>
    </row>
    <row r="572" spans="8:8" x14ac:dyDescent="0.2">
      <c r="H572" s="4"/>
    </row>
    <row r="573" spans="8:8" x14ac:dyDescent="0.2">
      <c r="H573" s="4"/>
    </row>
    <row r="574" spans="8:8" x14ac:dyDescent="0.2">
      <c r="H574" s="4"/>
    </row>
    <row r="575" spans="8:8" x14ac:dyDescent="0.2">
      <c r="H575" s="4"/>
    </row>
    <row r="576" spans="8:8" x14ac:dyDescent="0.2">
      <c r="H576" s="4"/>
    </row>
    <row r="577" spans="8:8" x14ac:dyDescent="0.2">
      <c r="H577" s="4"/>
    </row>
    <row r="578" spans="8:8" x14ac:dyDescent="0.2">
      <c r="H578" s="4"/>
    </row>
    <row r="579" spans="8:8" x14ac:dyDescent="0.2">
      <c r="H579" s="4"/>
    </row>
    <row r="580" spans="8:8" x14ac:dyDescent="0.2">
      <c r="H580" s="4"/>
    </row>
    <row r="581" spans="8:8" x14ac:dyDescent="0.2">
      <c r="H581" s="4"/>
    </row>
    <row r="582" spans="8:8" x14ac:dyDescent="0.2">
      <c r="H582" s="4"/>
    </row>
    <row r="583" spans="8:8" x14ac:dyDescent="0.2">
      <c r="H583" s="4"/>
    </row>
    <row r="584" spans="8:8" x14ac:dyDescent="0.2">
      <c r="H584" s="4"/>
    </row>
    <row r="585" spans="8:8" x14ac:dyDescent="0.2">
      <c r="H585" s="4"/>
    </row>
    <row r="586" spans="8:8" x14ac:dyDescent="0.2">
      <c r="H586" s="4"/>
    </row>
    <row r="587" spans="8:8" x14ac:dyDescent="0.2">
      <c r="H587" s="4"/>
    </row>
    <row r="588" spans="8:8" x14ac:dyDescent="0.2">
      <c r="H588" s="4"/>
    </row>
    <row r="589" spans="8:8" x14ac:dyDescent="0.2">
      <c r="H589" s="4"/>
    </row>
    <row r="590" spans="8:8" x14ac:dyDescent="0.2">
      <c r="H590" s="4"/>
    </row>
    <row r="591" spans="8:8" x14ac:dyDescent="0.2">
      <c r="H591" s="4"/>
    </row>
    <row r="592" spans="8:8" x14ac:dyDescent="0.2">
      <c r="H592" s="4"/>
    </row>
    <row r="593" spans="8:8" x14ac:dyDescent="0.2">
      <c r="H593" s="4"/>
    </row>
    <row r="594" spans="8:8" x14ac:dyDescent="0.2">
      <c r="H594" s="4"/>
    </row>
    <row r="595" spans="8:8" x14ac:dyDescent="0.2">
      <c r="H595" s="4"/>
    </row>
    <row r="596" spans="8:8" x14ac:dyDescent="0.2">
      <c r="H596" s="4"/>
    </row>
    <row r="597" spans="8:8" x14ac:dyDescent="0.2">
      <c r="H597" s="4"/>
    </row>
    <row r="598" spans="8:8" x14ac:dyDescent="0.2">
      <c r="H598" s="4"/>
    </row>
    <row r="599" spans="8:8" x14ac:dyDescent="0.2">
      <c r="H599" s="4"/>
    </row>
    <row r="600" spans="8:8" x14ac:dyDescent="0.2">
      <c r="H600" s="4"/>
    </row>
    <row r="601" spans="8:8" x14ac:dyDescent="0.2">
      <c r="H601" s="4"/>
    </row>
    <row r="602" spans="8:8" x14ac:dyDescent="0.2">
      <c r="H602" s="4"/>
    </row>
    <row r="603" spans="8:8" x14ac:dyDescent="0.2">
      <c r="H603" s="4"/>
    </row>
    <row r="604" spans="8:8" x14ac:dyDescent="0.2">
      <c r="H604" s="4"/>
    </row>
    <row r="605" spans="8:8" x14ac:dyDescent="0.2">
      <c r="H605" s="4"/>
    </row>
    <row r="606" spans="8:8" x14ac:dyDescent="0.2">
      <c r="H606" s="4"/>
    </row>
    <row r="607" spans="8:8" x14ac:dyDescent="0.2">
      <c r="H607" s="4"/>
    </row>
    <row r="608" spans="8:8" x14ac:dyDescent="0.2">
      <c r="H608" s="4"/>
    </row>
    <row r="609" spans="8:8" x14ac:dyDescent="0.2">
      <c r="H609" s="4"/>
    </row>
    <row r="610" spans="8:8" x14ac:dyDescent="0.2">
      <c r="H610" s="4"/>
    </row>
    <row r="611" spans="8:8" x14ac:dyDescent="0.2">
      <c r="H611" s="4"/>
    </row>
    <row r="612" spans="8:8" x14ac:dyDescent="0.2">
      <c r="H612" s="4"/>
    </row>
    <row r="613" spans="8:8" x14ac:dyDescent="0.2">
      <c r="H613" s="4"/>
    </row>
    <row r="614" spans="8:8" x14ac:dyDescent="0.2">
      <c r="H614" s="4"/>
    </row>
    <row r="615" spans="8:8" x14ac:dyDescent="0.2">
      <c r="H615" s="4"/>
    </row>
    <row r="616" spans="8:8" x14ac:dyDescent="0.2">
      <c r="H616" s="4"/>
    </row>
    <row r="617" spans="8:8" x14ac:dyDescent="0.2">
      <c r="H617" s="4"/>
    </row>
    <row r="618" spans="8:8" x14ac:dyDescent="0.2">
      <c r="H618" s="4"/>
    </row>
    <row r="619" spans="8:8" x14ac:dyDescent="0.2">
      <c r="H619" s="4"/>
    </row>
    <row r="620" spans="8:8" x14ac:dyDescent="0.2">
      <c r="H620" s="4"/>
    </row>
    <row r="621" spans="8:8" x14ac:dyDescent="0.2">
      <c r="H621" s="4"/>
    </row>
    <row r="622" spans="8:8" x14ac:dyDescent="0.2">
      <c r="H622" s="4"/>
    </row>
    <row r="623" spans="8:8" x14ac:dyDescent="0.2">
      <c r="H623" s="4"/>
    </row>
    <row r="624" spans="8:8" x14ac:dyDescent="0.2">
      <c r="H624" s="4"/>
    </row>
    <row r="625" spans="8:8" x14ac:dyDescent="0.2">
      <c r="H625" s="4"/>
    </row>
    <row r="626" spans="8:8" x14ac:dyDescent="0.2">
      <c r="H626" s="4"/>
    </row>
    <row r="627" spans="8:8" x14ac:dyDescent="0.2">
      <c r="H627" s="4"/>
    </row>
    <row r="628" spans="8:8" x14ac:dyDescent="0.2">
      <c r="H628" s="4"/>
    </row>
    <row r="629" spans="8:8" x14ac:dyDescent="0.2">
      <c r="H629" s="4"/>
    </row>
    <row r="630" spans="8:8" x14ac:dyDescent="0.2">
      <c r="H630" s="4"/>
    </row>
    <row r="631" spans="8:8" x14ac:dyDescent="0.2">
      <c r="H631" s="4"/>
    </row>
    <row r="632" spans="8:8" x14ac:dyDescent="0.2">
      <c r="H632" s="4"/>
    </row>
    <row r="633" spans="8:8" x14ac:dyDescent="0.2">
      <c r="H633" s="4"/>
    </row>
    <row r="634" spans="8:8" x14ac:dyDescent="0.2">
      <c r="H634" s="4"/>
    </row>
    <row r="635" spans="8:8" x14ac:dyDescent="0.2">
      <c r="H635" s="4"/>
    </row>
    <row r="636" spans="8:8" x14ac:dyDescent="0.2">
      <c r="H636" s="4"/>
    </row>
    <row r="637" spans="8:8" x14ac:dyDescent="0.2">
      <c r="H637" s="4"/>
    </row>
    <row r="638" spans="8:8" x14ac:dyDescent="0.2">
      <c r="H638" s="4"/>
    </row>
    <row r="639" spans="8:8" x14ac:dyDescent="0.2">
      <c r="H639" s="4"/>
    </row>
    <row r="640" spans="8:8" x14ac:dyDescent="0.2">
      <c r="H640" s="4"/>
    </row>
    <row r="641" spans="8:8" x14ac:dyDescent="0.2">
      <c r="H641" s="4"/>
    </row>
    <row r="642" spans="8:8" x14ac:dyDescent="0.2">
      <c r="H642" s="4"/>
    </row>
    <row r="643" spans="8:8" x14ac:dyDescent="0.2">
      <c r="H643" s="4"/>
    </row>
    <row r="644" spans="8:8" x14ac:dyDescent="0.2">
      <c r="H644" s="4"/>
    </row>
    <row r="645" spans="8:8" x14ac:dyDescent="0.2">
      <c r="H645" s="4"/>
    </row>
    <row r="646" spans="8:8" x14ac:dyDescent="0.2">
      <c r="H646" s="4"/>
    </row>
    <row r="647" spans="8:8" x14ac:dyDescent="0.2">
      <c r="H647" s="4"/>
    </row>
    <row r="648" spans="8:8" x14ac:dyDescent="0.2">
      <c r="H648" s="4"/>
    </row>
    <row r="649" spans="8:8" x14ac:dyDescent="0.2">
      <c r="H649" s="4"/>
    </row>
    <row r="650" spans="8:8" x14ac:dyDescent="0.2">
      <c r="H650" s="4"/>
    </row>
    <row r="651" spans="8:8" x14ac:dyDescent="0.2">
      <c r="H651" s="4"/>
    </row>
    <row r="652" spans="8:8" x14ac:dyDescent="0.2">
      <c r="H652" s="4"/>
    </row>
    <row r="653" spans="8:8" x14ac:dyDescent="0.2">
      <c r="H653" s="4"/>
    </row>
    <row r="654" spans="8:8" x14ac:dyDescent="0.2">
      <c r="H654" s="4"/>
    </row>
    <row r="655" spans="8:8" x14ac:dyDescent="0.2">
      <c r="H655" s="4"/>
    </row>
    <row r="656" spans="8:8" x14ac:dyDescent="0.2">
      <c r="H656" s="4"/>
    </row>
    <row r="657" spans="8:8" x14ac:dyDescent="0.2">
      <c r="H657" s="4"/>
    </row>
    <row r="658" spans="8:8" x14ac:dyDescent="0.2">
      <c r="H658" s="4"/>
    </row>
    <row r="659" spans="8:8" x14ac:dyDescent="0.2">
      <c r="H659" s="4"/>
    </row>
    <row r="660" spans="8:8" x14ac:dyDescent="0.2">
      <c r="H660" s="4"/>
    </row>
    <row r="661" spans="8:8" x14ac:dyDescent="0.2">
      <c r="H661" s="4"/>
    </row>
    <row r="662" spans="8:8" x14ac:dyDescent="0.2">
      <c r="H662" s="4"/>
    </row>
    <row r="663" spans="8:8" x14ac:dyDescent="0.2">
      <c r="H663" s="4"/>
    </row>
    <row r="664" spans="8:8" x14ac:dyDescent="0.2">
      <c r="H664" s="4"/>
    </row>
    <row r="665" spans="8:8" x14ac:dyDescent="0.2">
      <c r="H665" s="4"/>
    </row>
    <row r="666" spans="8:8" x14ac:dyDescent="0.2">
      <c r="H666" s="4"/>
    </row>
    <row r="667" spans="8:8" x14ac:dyDescent="0.2">
      <c r="H667" s="4"/>
    </row>
    <row r="668" spans="8:8" x14ac:dyDescent="0.2">
      <c r="H668" s="4"/>
    </row>
    <row r="669" spans="8:8" x14ac:dyDescent="0.2">
      <c r="H669" s="4"/>
    </row>
    <row r="670" spans="8:8" x14ac:dyDescent="0.2">
      <c r="H670" s="4"/>
    </row>
    <row r="671" spans="8:8" x14ac:dyDescent="0.2">
      <c r="H671" s="4"/>
    </row>
    <row r="672" spans="8:8" x14ac:dyDescent="0.2">
      <c r="H672" s="4"/>
    </row>
    <row r="673" spans="8:8" x14ac:dyDescent="0.2">
      <c r="H673" s="4"/>
    </row>
    <row r="674" spans="8:8" x14ac:dyDescent="0.2">
      <c r="H674" s="4"/>
    </row>
    <row r="675" spans="8:8" x14ac:dyDescent="0.2">
      <c r="H675" s="4"/>
    </row>
    <row r="676" spans="8:8" x14ac:dyDescent="0.2">
      <c r="H676" s="4"/>
    </row>
    <row r="677" spans="8:8" x14ac:dyDescent="0.2">
      <c r="H677" s="4"/>
    </row>
    <row r="678" spans="8:8" x14ac:dyDescent="0.2">
      <c r="H678" s="4"/>
    </row>
    <row r="679" spans="8:8" x14ac:dyDescent="0.2">
      <c r="H679" s="4"/>
    </row>
    <row r="680" spans="8:8" x14ac:dyDescent="0.2">
      <c r="H680" s="4"/>
    </row>
    <row r="681" spans="8:8" x14ac:dyDescent="0.2">
      <c r="H681" s="4"/>
    </row>
    <row r="682" spans="8:8" x14ac:dyDescent="0.2">
      <c r="H682" s="4"/>
    </row>
    <row r="683" spans="8:8" x14ac:dyDescent="0.2">
      <c r="H683" s="4"/>
    </row>
    <row r="684" spans="8:8" x14ac:dyDescent="0.2">
      <c r="H684" s="4"/>
    </row>
    <row r="685" spans="8:8" x14ac:dyDescent="0.2">
      <c r="H685" s="4"/>
    </row>
    <row r="686" spans="8:8" x14ac:dyDescent="0.2">
      <c r="H686" s="4"/>
    </row>
    <row r="687" spans="8:8" x14ac:dyDescent="0.2">
      <c r="H687" s="4"/>
    </row>
    <row r="688" spans="8:8" x14ac:dyDescent="0.2">
      <c r="H688" s="4"/>
    </row>
    <row r="689" spans="8:8" x14ac:dyDescent="0.2">
      <c r="H689" s="4"/>
    </row>
    <row r="690" spans="8:8" x14ac:dyDescent="0.2">
      <c r="H690" s="4"/>
    </row>
    <row r="691" spans="8:8" x14ac:dyDescent="0.2">
      <c r="H691" s="4"/>
    </row>
    <row r="692" spans="8:8" x14ac:dyDescent="0.2">
      <c r="H692" s="4"/>
    </row>
    <row r="693" spans="8:8" x14ac:dyDescent="0.2">
      <c r="H693" s="4"/>
    </row>
    <row r="694" spans="8:8" x14ac:dyDescent="0.2">
      <c r="H694" s="4"/>
    </row>
    <row r="695" spans="8:8" x14ac:dyDescent="0.2">
      <c r="H695" s="4"/>
    </row>
    <row r="696" spans="8:8" x14ac:dyDescent="0.2">
      <c r="H696" s="4"/>
    </row>
    <row r="697" spans="8:8" x14ac:dyDescent="0.2">
      <c r="H697" s="4"/>
    </row>
    <row r="698" spans="8:8" x14ac:dyDescent="0.2">
      <c r="H698" s="4"/>
    </row>
    <row r="699" spans="8:8" x14ac:dyDescent="0.2">
      <c r="H699" s="4"/>
    </row>
    <row r="700" spans="8:8" x14ac:dyDescent="0.2">
      <c r="H700" s="4"/>
    </row>
    <row r="701" spans="8:8" x14ac:dyDescent="0.2">
      <c r="H701" s="4"/>
    </row>
    <row r="702" spans="8:8" x14ac:dyDescent="0.2">
      <c r="H702" s="4"/>
    </row>
    <row r="703" spans="8:8" x14ac:dyDescent="0.2">
      <c r="H703" s="4"/>
    </row>
    <row r="704" spans="8:8" x14ac:dyDescent="0.2">
      <c r="H704" s="4"/>
    </row>
    <row r="705" spans="8:8" x14ac:dyDescent="0.2">
      <c r="H705" s="4"/>
    </row>
    <row r="706" spans="8:8" x14ac:dyDescent="0.2">
      <c r="H706" s="4"/>
    </row>
    <row r="707" spans="8:8" x14ac:dyDescent="0.2">
      <c r="H707" s="4"/>
    </row>
    <row r="708" spans="8:8" x14ac:dyDescent="0.2">
      <c r="H708" s="4"/>
    </row>
    <row r="709" spans="8:8" x14ac:dyDescent="0.2">
      <c r="H709" s="4"/>
    </row>
    <row r="710" spans="8:8" x14ac:dyDescent="0.2">
      <c r="H710" s="4"/>
    </row>
    <row r="711" spans="8:8" x14ac:dyDescent="0.2">
      <c r="H711" s="4"/>
    </row>
    <row r="712" spans="8:8" x14ac:dyDescent="0.2">
      <c r="H712" s="4"/>
    </row>
    <row r="713" spans="8:8" x14ac:dyDescent="0.2">
      <c r="H713" s="4"/>
    </row>
    <row r="714" spans="8:8" x14ac:dyDescent="0.2">
      <c r="H714" s="4"/>
    </row>
    <row r="715" spans="8:8" x14ac:dyDescent="0.2">
      <c r="H715" s="4"/>
    </row>
    <row r="716" spans="8:8" x14ac:dyDescent="0.2">
      <c r="H716" s="4"/>
    </row>
    <row r="717" spans="8:8" x14ac:dyDescent="0.2">
      <c r="H717" s="4"/>
    </row>
    <row r="718" spans="8:8" x14ac:dyDescent="0.2">
      <c r="H718" s="4"/>
    </row>
    <row r="719" spans="8:8" x14ac:dyDescent="0.2">
      <c r="H719" s="4"/>
    </row>
    <row r="720" spans="8:8" x14ac:dyDescent="0.2">
      <c r="H720" s="4"/>
    </row>
    <row r="721" spans="8:8" x14ac:dyDescent="0.2">
      <c r="H721" s="4"/>
    </row>
    <row r="722" spans="8:8" x14ac:dyDescent="0.2">
      <c r="H722" s="4"/>
    </row>
    <row r="723" spans="8:8" x14ac:dyDescent="0.2">
      <c r="H723" s="4"/>
    </row>
    <row r="724" spans="8:8" x14ac:dyDescent="0.2">
      <c r="H724" s="4"/>
    </row>
    <row r="725" spans="8:8" x14ac:dyDescent="0.2">
      <c r="H725" s="4"/>
    </row>
    <row r="726" spans="8:8" x14ac:dyDescent="0.2">
      <c r="H726" s="4"/>
    </row>
    <row r="727" spans="8:8" x14ac:dyDescent="0.2">
      <c r="H727" s="4"/>
    </row>
    <row r="728" spans="8:8" x14ac:dyDescent="0.2">
      <c r="H728" s="4"/>
    </row>
    <row r="729" spans="8:8" x14ac:dyDescent="0.2">
      <c r="H729" s="4"/>
    </row>
    <row r="730" spans="8:8" x14ac:dyDescent="0.2">
      <c r="H730" s="4"/>
    </row>
    <row r="731" spans="8:8" x14ac:dyDescent="0.2">
      <c r="H731" s="4"/>
    </row>
    <row r="732" spans="8:8" x14ac:dyDescent="0.2">
      <c r="H732" s="4"/>
    </row>
    <row r="733" spans="8:8" x14ac:dyDescent="0.2">
      <c r="H733" s="4"/>
    </row>
    <row r="734" spans="8:8" x14ac:dyDescent="0.2">
      <c r="H734" s="4"/>
    </row>
    <row r="735" spans="8:8" x14ac:dyDescent="0.2">
      <c r="H735" s="4"/>
    </row>
    <row r="736" spans="8:8" x14ac:dyDescent="0.2">
      <c r="H736" s="4"/>
    </row>
    <row r="737" spans="8:8" x14ac:dyDescent="0.2">
      <c r="H737" s="4"/>
    </row>
    <row r="738" spans="8:8" x14ac:dyDescent="0.2">
      <c r="H738" s="4"/>
    </row>
    <row r="739" spans="8:8" x14ac:dyDescent="0.2">
      <c r="H739" s="4"/>
    </row>
    <row r="740" spans="8:8" x14ac:dyDescent="0.2">
      <c r="H740" s="4"/>
    </row>
    <row r="741" spans="8:8" x14ac:dyDescent="0.2">
      <c r="H741" s="4"/>
    </row>
    <row r="742" spans="8:8" x14ac:dyDescent="0.2">
      <c r="H742" s="4"/>
    </row>
    <row r="743" spans="8:8" x14ac:dyDescent="0.2">
      <c r="H743" s="4"/>
    </row>
    <row r="744" spans="8:8" x14ac:dyDescent="0.2">
      <c r="H744" s="4"/>
    </row>
    <row r="745" spans="8:8" x14ac:dyDescent="0.2">
      <c r="H745" s="4"/>
    </row>
    <row r="746" spans="8:8" x14ac:dyDescent="0.2">
      <c r="H746" s="4"/>
    </row>
    <row r="747" spans="8:8" x14ac:dyDescent="0.2">
      <c r="H747" s="4"/>
    </row>
    <row r="748" spans="8:8" x14ac:dyDescent="0.2">
      <c r="H748" s="4"/>
    </row>
    <row r="749" spans="8:8" x14ac:dyDescent="0.2">
      <c r="H749" s="4"/>
    </row>
    <row r="750" spans="8:8" x14ac:dyDescent="0.2">
      <c r="H750" s="4"/>
    </row>
    <row r="751" spans="8:8" x14ac:dyDescent="0.2">
      <c r="H751" s="4"/>
    </row>
    <row r="752" spans="8:8" x14ac:dyDescent="0.2">
      <c r="H752" s="4"/>
    </row>
    <row r="753" spans="8:8" x14ac:dyDescent="0.2">
      <c r="H753" s="4"/>
    </row>
    <row r="754" spans="8:8" x14ac:dyDescent="0.2">
      <c r="H754" s="4"/>
    </row>
    <row r="755" spans="8:8" x14ac:dyDescent="0.2">
      <c r="H755" s="4"/>
    </row>
    <row r="756" spans="8:8" x14ac:dyDescent="0.2">
      <c r="H756" s="4"/>
    </row>
    <row r="757" spans="8:8" x14ac:dyDescent="0.2">
      <c r="H757" s="4"/>
    </row>
    <row r="758" spans="8:8" x14ac:dyDescent="0.2">
      <c r="H758" s="4"/>
    </row>
    <row r="759" spans="8:8" x14ac:dyDescent="0.2">
      <c r="H759" s="4"/>
    </row>
    <row r="760" spans="8:8" x14ac:dyDescent="0.2">
      <c r="H760" s="4"/>
    </row>
    <row r="761" spans="8:8" x14ac:dyDescent="0.2">
      <c r="H761" s="4"/>
    </row>
    <row r="762" spans="8:8" x14ac:dyDescent="0.2">
      <c r="H762" s="4"/>
    </row>
    <row r="763" spans="8:8" x14ac:dyDescent="0.2">
      <c r="H763" s="4"/>
    </row>
    <row r="764" spans="8:8" x14ac:dyDescent="0.2">
      <c r="H764" s="4"/>
    </row>
    <row r="765" spans="8:8" x14ac:dyDescent="0.2">
      <c r="H765" s="4"/>
    </row>
    <row r="766" spans="8:8" x14ac:dyDescent="0.2">
      <c r="H766" s="4"/>
    </row>
    <row r="767" spans="8:8" x14ac:dyDescent="0.2">
      <c r="H767" s="4"/>
    </row>
    <row r="768" spans="8:8" x14ac:dyDescent="0.2">
      <c r="H768" s="4"/>
    </row>
    <row r="769" spans="8:8" x14ac:dyDescent="0.2">
      <c r="H769" s="4"/>
    </row>
    <row r="770" spans="8:8" x14ac:dyDescent="0.2">
      <c r="H770" s="4"/>
    </row>
    <row r="771" spans="8:8" x14ac:dyDescent="0.2">
      <c r="H771" s="4"/>
    </row>
    <row r="772" spans="8:8" x14ac:dyDescent="0.2">
      <c r="H772" s="4"/>
    </row>
    <row r="773" spans="8:8" x14ac:dyDescent="0.2">
      <c r="H773" s="4"/>
    </row>
    <row r="774" spans="8:8" x14ac:dyDescent="0.2">
      <c r="H774" s="4"/>
    </row>
    <row r="775" spans="8:8" x14ac:dyDescent="0.2">
      <c r="H775" s="4"/>
    </row>
    <row r="776" spans="8:8" x14ac:dyDescent="0.2">
      <c r="H776" s="4"/>
    </row>
    <row r="777" spans="8:8" x14ac:dyDescent="0.2">
      <c r="H777" s="4"/>
    </row>
    <row r="778" spans="8:8" x14ac:dyDescent="0.2">
      <c r="H778" s="4"/>
    </row>
    <row r="779" spans="8:8" x14ac:dyDescent="0.2">
      <c r="H779" s="4"/>
    </row>
    <row r="780" spans="8:8" x14ac:dyDescent="0.2">
      <c r="H780" s="4"/>
    </row>
    <row r="781" spans="8:8" x14ac:dyDescent="0.2">
      <c r="H781" s="4"/>
    </row>
    <row r="782" spans="8:8" x14ac:dyDescent="0.2">
      <c r="H782" s="4"/>
    </row>
    <row r="783" spans="8:8" x14ac:dyDescent="0.2">
      <c r="H783" s="4"/>
    </row>
    <row r="784" spans="8:8" x14ac:dyDescent="0.2">
      <c r="H784" s="4"/>
    </row>
    <row r="785" spans="8:8" x14ac:dyDescent="0.2">
      <c r="H785" s="4"/>
    </row>
    <row r="786" spans="8:8" x14ac:dyDescent="0.2">
      <c r="H786" s="4"/>
    </row>
    <row r="787" spans="8:8" x14ac:dyDescent="0.2">
      <c r="H787" s="4"/>
    </row>
    <row r="788" spans="8:8" x14ac:dyDescent="0.2">
      <c r="H788" s="4"/>
    </row>
    <row r="789" spans="8:8" x14ac:dyDescent="0.2">
      <c r="H789" s="4"/>
    </row>
    <row r="790" spans="8:8" x14ac:dyDescent="0.2">
      <c r="H790" s="4"/>
    </row>
    <row r="791" spans="8:8" x14ac:dyDescent="0.2">
      <c r="H791" s="4"/>
    </row>
    <row r="792" spans="8:8" x14ac:dyDescent="0.2">
      <c r="H792" s="4"/>
    </row>
    <row r="793" spans="8:8" x14ac:dyDescent="0.2">
      <c r="H793" s="4"/>
    </row>
    <row r="794" spans="8:8" x14ac:dyDescent="0.2">
      <c r="H794" s="4"/>
    </row>
    <row r="795" spans="8:8" x14ac:dyDescent="0.2">
      <c r="H795" s="4"/>
    </row>
    <row r="796" spans="8:8" x14ac:dyDescent="0.2">
      <c r="H796" s="4"/>
    </row>
    <row r="797" spans="8:8" x14ac:dyDescent="0.2">
      <c r="H797" s="4"/>
    </row>
    <row r="798" spans="8:8" x14ac:dyDescent="0.2">
      <c r="H798" s="4"/>
    </row>
    <row r="799" spans="8:8" x14ac:dyDescent="0.2">
      <c r="H799" s="4"/>
    </row>
    <row r="800" spans="8:8" x14ac:dyDescent="0.2">
      <c r="H800" s="4"/>
    </row>
    <row r="801" spans="8:8" x14ac:dyDescent="0.2">
      <c r="H801" s="4"/>
    </row>
    <row r="802" spans="8:8" x14ac:dyDescent="0.2">
      <c r="H802" s="4"/>
    </row>
    <row r="803" spans="8:8" x14ac:dyDescent="0.2">
      <c r="H803" s="4"/>
    </row>
    <row r="804" spans="8:8" x14ac:dyDescent="0.2">
      <c r="H804" s="4"/>
    </row>
    <row r="805" spans="8:8" x14ac:dyDescent="0.2">
      <c r="H805" s="4"/>
    </row>
    <row r="806" spans="8:8" x14ac:dyDescent="0.2">
      <c r="H806" s="4"/>
    </row>
    <row r="807" spans="8:8" x14ac:dyDescent="0.2">
      <c r="H807" s="4"/>
    </row>
    <row r="808" spans="8:8" x14ac:dyDescent="0.2">
      <c r="H808" s="4"/>
    </row>
    <row r="809" spans="8:8" x14ac:dyDescent="0.2">
      <c r="H809" s="4"/>
    </row>
    <row r="810" spans="8:8" x14ac:dyDescent="0.2">
      <c r="H810" s="4"/>
    </row>
    <row r="811" spans="8:8" x14ac:dyDescent="0.2">
      <c r="H811" s="4"/>
    </row>
    <row r="812" spans="8:8" x14ac:dyDescent="0.2">
      <c r="H812" s="4"/>
    </row>
    <row r="813" spans="8:8" x14ac:dyDescent="0.2">
      <c r="H813" s="4"/>
    </row>
    <row r="814" spans="8:8" x14ac:dyDescent="0.2">
      <c r="H814" s="4"/>
    </row>
    <row r="815" spans="8:8" x14ac:dyDescent="0.2">
      <c r="H815" s="4"/>
    </row>
    <row r="816" spans="8:8" x14ac:dyDescent="0.2">
      <c r="H816" s="4"/>
    </row>
    <row r="817" spans="8:10" x14ac:dyDescent="0.2">
      <c r="H817" s="4"/>
    </row>
    <row r="818" spans="8:10" x14ac:dyDescent="0.2">
      <c r="H818" s="4"/>
    </row>
    <row r="819" spans="8:10" x14ac:dyDescent="0.2">
      <c r="H819" s="4"/>
    </row>
    <row r="820" spans="8:10" x14ac:dyDescent="0.2">
      <c r="H820" s="4"/>
    </row>
    <row r="821" spans="8:10" x14ac:dyDescent="0.2">
      <c r="H821" s="4"/>
    </row>
    <row r="822" spans="8:10" x14ac:dyDescent="0.2">
      <c r="H822" s="4"/>
    </row>
    <row r="823" spans="8:10" x14ac:dyDescent="0.2">
      <c r="J823" s="1">
        <v>300</v>
      </c>
    </row>
    <row r="824" spans="8:10" x14ac:dyDescent="0.2">
      <c r="J824" s="1">
        <v>160</v>
      </c>
    </row>
  </sheetData>
  <dataConsolidate function="count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Output Report</vt:lpstr>
      <vt:lpstr>Input Report</vt:lpstr>
      <vt:lpstr>Instructions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ANDY</cp:lastModifiedBy>
  <dcterms:created xsi:type="dcterms:W3CDTF">2023-01-31T17:33:17Z</dcterms:created>
  <dcterms:modified xsi:type="dcterms:W3CDTF">2023-03-14T17:45:15Z</dcterms:modified>
</cp:coreProperties>
</file>